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n\Downloads\"/>
    </mc:Choice>
  </mc:AlternateContent>
  <xr:revisionPtr revIDLastSave="0" documentId="13_ncr:1_{DB17393B-1456-4BFF-84D5-A712A61922EB}" xr6:coauthVersionLast="47" xr6:coauthVersionMax="47" xr10:uidLastSave="{00000000-0000-0000-0000-000000000000}"/>
  <bookViews>
    <workbookView xWindow="-120" yWindow="-120" windowWidth="20730" windowHeight="11760" xr2:uid="{F68899D4-9512-4BC8-83F0-B7DF85827B06}"/>
  </bookViews>
  <sheets>
    <sheet name="LISTA ACTU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04" i="1" l="1"/>
  <c r="K403" i="1"/>
  <c r="K402" i="1"/>
  <c r="K401" i="1"/>
  <c r="K400" i="1"/>
  <c r="K399" i="1"/>
  <c r="K398" i="1"/>
  <c r="K397" i="1"/>
  <c r="K396" i="1"/>
  <c r="K390" i="1"/>
  <c r="K389" i="1"/>
  <c r="K386" i="1"/>
  <c r="K385" i="1"/>
  <c r="K384" i="1"/>
  <c r="K383" i="1"/>
  <c r="K380" i="1"/>
  <c r="K379" i="1"/>
  <c r="K376" i="1"/>
  <c r="K375" i="1"/>
  <c r="K371" i="1"/>
  <c r="K370" i="1"/>
  <c r="K367" i="1"/>
  <c r="K366" i="1"/>
  <c r="K364" i="1"/>
  <c r="K363" i="1"/>
  <c r="K362" i="1"/>
  <c r="K361" i="1"/>
  <c r="K360" i="1"/>
  <c r="K359" i="1"/>
  <c r="K358" i="1"/>
  <c r="K357" i="1"/>
  <c r="K354" i="1"/>
  <c r="K352" i="1"/>
  <c r="K351" i="1"/>
  <c r="K343" i="1"/>
  <c r="K342" i="1"/>
  <c r="K337" i="1"/>
  <c r="K336" i="1"/>
  <c r="K335" i="1"/>
  <c r="K334" i="1"/>
  <c r="K333" i="1"/>
  <c r="K331" i="1"/>
  <c r="K330" i="1"/>
  <c r="K329" i="1"/>
  <c r="K328" i="1"/>
  <c r="K327" i="1"/>
  <c r="K326" i="1"/>
  <c r="K325" i="1"/>
  <c r="K324" i="1"/>
  <c r="K307" i="1"/>
  <c r="K306" i="1"/>
  <c r="K305" i="1"/>
  <c r="K304" i="1"/>
  <c r="K303" i="1"/>
  <c r="K302" i="1"/>
  <c r="K301" i="1"/>
  <c r="K296" i="1"/>
  <c r="K295" i="1"/>
  <c r="K294" i="1"/>
  <c r="K292" i="1"/>
  <c r="K290" i="1"/>
  <c r="K289" i="1"/>
  <c r="K288" i="1"/>
  <c r="K287" i="1"/>
  <c r="K286" i="1"/>
  <c r="K285" i="1"/>
  <c r="K284" i="1"/>
  <c r="K277" i="1"/>
  <c r="K276" i="1"/>
  <c r="K275" i="1"/>
  <c r="K274" i="1"/>
  <c r="K273" i="1"/>
  <c r="K272" i="1"/>
  <c r="K271" i="1"/>
  <c r="K270" i="1"/>
  <c r="K268" i="1"/>
  <c r="K267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49" i="1"/>
  <c r="K248" i="1"/>
  <c r="K247" i="1"/>
  <c r="K246" i="1"/>
  <c r="K245" i="1"/>
  <c r="K244" i="1"/>
  <c r="K243" i="1"/>
  <c r="K242" i="1"/>
  <c r="K241" i="1"/>
  <c r="K240" i="1"/>
  <c r="K239" i="1"/>
  <c r="K235" i="1"/>
  <c r="K234" i="1"/>
  <c r="K233" i="1"/>
  <c r="K229" i="1"/>
  <c r="K228" i="1"/>
  <c r="K227" i="1"/>
  <c r="K226" i="1"/>
  <c r="K220" i="1"/>
  <c r="K219" i="1"/>
  <c r="K218" i="1"/>
  <c r="K217" i="1"/>
  <c r="K216" i="1"/>
  <c r="K215" i="1"/>
  <c r="K214" i="1"/>
  <c r="K213" i="1"/>
  <c r="K208" i="1"/>
  <c r="K204" i="1"/>
  <c r="K203" i="1"/>
  <c r="E201" i="1"/>
  <c r="G201" i="1" s="1"/>
  <c r="K198" i="1"/>
  <c r="K197" i="1"/>
  <c r="K196" i="1"/>
  <c r="K195" i="1"/>
  <c r="K194" i="1"/>
  <c r="K192" i="1"/>
  <c r="E181" i="1"/>
  <c r="G181" i="1" s="1"/>
  <c r="K178" i="1"/>
  <c r="K174" i="1"/>
  <c r="K173" i="1"/>
  <c r="K168" i="1"/>
  <c r="K166" i="1"/>
  <c r="K165" i="1"/>
  <c r="K163" i="1"/>
  <c r="K162" i="1"/>
  <c r="K161" i="1"/>
  <c r="K158" i="1"/>
  <c r="K154" i="1"/>
  <c r="K146" i="1"/>
  <c r="K145" i="1"/>
  <c r="K144" i="1"/>
  <c r="K143" i="1"/>
  <c r="K142" i="1"/>
  <c r="K141" i="1"/>
  <c r="K140" i="1"/>
  <c r="K139" i="1"/>
  <c r="K138" i="1"/>
  <c r="K137" i="1"/>
  <c r="K100" i="1"/>
  <c r="K93" i="1"/>
  <c r="K92" i="1"/>
  <c r="K91" i="1"/>
  <c r="K88" i="1"/>
  <c r="J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66" i="1"/>
  <c r="E58" i="1"/>
  <c r="G58" i="1" s="1"/>
  <c r="E57" i="1"/>
  <c r="G57" i="1" s="1"/>
  <c r="K56" i="1"/>
  <c r="E56" i="1"/>
  <c r="G56" i="1" s="1"/>
  <c r="E55" i="1"/>
  <c r="G55" i="1" s="1"/>
  <c r="K54" i="1"/>
  <c r="K53" i="1"/>
  <c r="K52" i="1"/>
  <c r="E52" i="1"/>
  <c r="G52" i="1" s="1"/>
  <c r="E51" i="1"/>
  <c r="G51" i="1" s="1"/>
  <c r="K50" i="1"/>
  <c r="K49" i="1"/>
  <c r="K48" i="1"/>
  <c r="K47" i="1"/>
  <c r="K46" i="1"/>
  <c r="K42" i="1"/>
  <c r="K41" i="1"/>
  <c r="K39" i="1"/>
  <c r="K31" i="1"/>
  <c r="E31" i="1"/>
  <c r="G31" i="1" s="1"/>
  <c r="K30" i="1"/>
  <c r="K29" i="1"/>
  <c r="K28" i="1"/>
  <c r="K21" i="1"/>
  <c r="K20" i="1"/>
  <c r="E20" i="1"/>
  <c r="G20" i="1" s="1"/>
  <c r="K19" i="1"/>
  <c r="K18" i="1"/>
  <c r="K17" i="1"/>
  <c r="K16" i="1"/>
  <c r="K13" i="1"/>
  <c r="K12" i="1"/>
  <c r="K11" i="1"/>
  <c r="K10" i="1"/>
  <c r="K9" i="1"/>
  <c r="K7" i="1"/>
  <c r="E4" i="1"/>
  <c r="G4" i="1" s="1"/>
  <c r="G2" i="1"/>
  <c r="E2" i="1"/>
  <c r="E110" i="1"/>
  <c r="G110" i="1" s="1"/>
  <c r="E192" i="1"/>
  <c r="G192" i="1"/>
  <c r="E10" i="1"/>
  <c r="G10" i="1" s="1"/>
  <c r="E63" i="1"/>
  <c r="G63" i="1" s="1"/>
  <c r="E69" i="1"/>
  <c r="G69" i="1" s="1"/>
  <c r="E78" i="1"/>
  <c r="G78" i="1" s="1"/>
  <c r="E111" i="1"/>
  <c r="G111" i="1" s="1"/>
  <c r="E119" i="1"/>
  <c r="G119" i="1" s="1"/>
  <c r="E143" i="1"/>
  <c r="G143" i="1"/>
  <c r="E170" i="1"/>
  <c r="G170" i="1" s="1"/>
  <c r="E175" i="1"/>
  <c r="G175" i="1" s="1"/>
  <c r="E216" i="1"/>
  <c r="G216" i="1" s="1"/>
  <c r="E253" i="1"/>
  <c r="G253" i="1" s="1"/>
  <c r="E270" i="1"/>
  <c r="G270" i="1" s="1"/>
  <c r="E37" i="1"/>
  <c r="G37" i="1" s="1"/>
  <c r="E99" i="1"/>
  <c r="G99" i="1" s="1"/>
  <c r="E132" i="1"/>
  <c r="G132" i="1"/>
  <c r="E153" i="1"/>
  <c r="G153" i="1" s="1"/>
  <c r="E186" i="1"/>
  <c r="G186" i="1" s="1"/>
  <c r="E209" i="1"/>
  <c r="G209" i="1" s="1"/>
  <c r="E244" i="1"/>
  <c r="G244" i="1"/>
  <c r="E6" i="1"/>
  <c r="G6" i="1" s="1"/>
  <c r="E21" i="1"/>
  <c r="G21" i="1" s="1"/>
  <c r="E28" i="1"/>
  <c r="G28" i="1" s="1"/>
  <c r="E38" i="1"/>
  <c r="G38" i="1"/>
  <c r="E64" i="1"/>
  <c r="G64" i="1" s="1"/>
  <c r="E71" i="1"/>
  <c r="G71" i="1"/>
  <c r="E75" i="1"/>
  <c r="G75" i="1"/>
  <c r="E82" i="1"/>
  <c r="G82" i="1"/>
  <c r="E85" i="1"/>
  <c r="G85" i="1" s="1"/>
  <c r="E94" i="1"/>
  <c r="G94" i="1"/>
  <c r="E100" i="1"/>
  <c r="G100" i="1" s="1"/>
  <c r="E105" i="1"/>
  <c r="G105" i="1" s="1"/>
  <c r="E120" i="1"/>
  <c r="G120" i="1" s="1"/>
  <c r="E126" i="1"/>
  <c r="G126" i="1"/>
  <c r="E133" i="1"/>
  <c r="G133" i="1"/>
  <c r="E154" i="1"/>
  <c r="G154" i="1"/>
  <c r="E171" i="1"/>
  <c r="G171" i="1" s="1"/>
  <c r="E182" i="1"/>
  <c r="G182" i="1"/>
  <c r="E187" i="1"/>
  <c r="G187" i="1"/>
  <c r="E193" i="1"/>
  <c r="G193" i="1" s="1"/>
  <c r="E205" i="1"/>
  <c r="G205" i="1" s="1"/>
  <c r="E212" i="1"/>
  <c r="G212" i="1"/>
  <c r="E220" i="1"/>
  <c r="G220" i="1"/>
  <c r="E228" i="1"/>
  <c r="G228" i="1"/>
  <c r="E235" i="1"/>
  <c r="G235" i="1" s="1"/>
  <c r="E258" i="1"/>
  <c r="G258" i="1" s="1"/>
  <c r="E5" i="1"/>
  <c r="G5" i="1"/>
  <c r="E26" i="1"/>
  <c r="G26" i="1"/>
  <c r="E47" i="1"/>
  <c r="G47" i="1" s="1"/>
  <c r="E93" i="1"/>
  <c r="G93" i="1"/>
  <c r="E125" i="1"/>
  <c r="G125" i="1" s="1"/>
  <c r="E146" i="1"/>
  <c r="G146" i="1" s="1"/>
  <c r="E200" i="1"/>
  <c r="G200" i="1" s="1"/>
  <c r="E262" i="1"/>
  <c r="G262" i="1" s="1"/>
  <c r="E14" i="1"/>
  <c r="G14" i="1" s="1"/>
  <c r="E18" i="1"/>
  <c r="G18" i="1"/>
  <c r="E32" i="1"/>
  <c r="G32" i="1"/>
  <c r="E39" i="1"/>
  <c r="G39" i="1"/>
  <c r="E43" i="1"/>
  <c r="G43" i="1" s="1"/>
  <c r="E48" i="1"/>
  <c r="G48" i="1" s="1"/>
  <c r="E79" i="1"/>
  <c r="G79" i="1" s="1"/>
  <c r="E90" i="1"/>
  <c r="G90" i="1" s="1"/>
  <c r="E95" i="1"/>
  <c r="E113" i="1"/>
  <c r="G113" i="1"/>
  <c r="E127" i="1"/>
  <c r="G127" i="1" s="1"/>
  <c r="E134" i="1"/>
  <c r="G134" i="1" s="1"/>
  <c r="E147" i="1"/>
  <c r="G147" i="1" s="1"/>
  <c r="E172" i="1"/>
  <c r="G172" i="1"/>
  <c r="E176" i="1"/>
  <c r="G176" i="1"/>
  <c r="E188" i="1"/>
  <c r="G188" i="1"/>
  <c r="E194" i="1"/>
  <c r="G194" i="1" s="1"/>
  <c r="E197" i="1"/>
  <c r="G197" i="1"/>
  <c r="E213" i="1"/>
  <c r="G213" i="1"/>
  <c r="E241" i="1"/>
  <c r="G241" i="1" s="1"/>
  <c r="E249" i="1"/>
  <c r="G249" i="1" s="1"/>
  <c r="E42" i="1"/>
  <c r="G42" i="1"/>
  <c r="E81" i="1"/>
  <c r="G81" i="1"/>
  <c r="E104" i="1"/>
  <c r="G104" i="1" s="1"/>
  <c r="E138" i="1"/>
  <c r="G138" i="1" s="1"/>
  <c r="E158" i="1"/>
  <c r="G158" i="1" s="1"/>
  <c r="E196" i="1"/>
  <c r="G196" i="1" s="1"/>
  <c r="E11" i="1"/>
  <c r="G11" i="1"/>
  <c r="E22" i="1"/>
  <c r="G22" i="1"/>
  <c r="E29" i="1"/>
  <c r="G29" i="1" s="1"/>
  <c r="E33" i="1"/>
  <c r="G33" i="1" s="1"/>
  <c r="E44" i="1"/>
  <c r="G44" i="1"/>
  <c r="E66" i="1"/>
  <c r="G66" i="1"/>
  <c r="E86" i="1"/>
  <c r="G86" i="1" s="1"/>
  <c r="E107" i="1"/>
  <c r="G107" i="1" s="1"/>
  <c r="E114" i="1"/>
  <c r="G114" i="1"/>
  <c r="E121" i="1"/>
  <c r="G121" i="1"/>
  <c r="E128" i="1"/>
  <c r="G128" i="1" s="1"/>
  <c r="E135" i="1"/>
  <c r="G135" i="1" s="1"/>
  <c r="E141" i="1"/>
  <c r="G141" i="1"/>
  <c r="E144" i="1"/>
  <c r="G144" i="1"/>
  <c r="E148" i="1"/>
  <c r="G148" i="1" s="1"/>
  <c r="E160" i="1"/>
  <c r="G160" i="1" s="1"/>
  <c r="E164" i="1"/>
  <c r="G164" i="1"/>
  <c r="E178" i="1"/>
  <c r="G178" i="1"/>
  <c r="E183" i="1"/>
  <c r="G183" i="1" s="1"/>
  <c r="E203" i="1"/>
  <c r="G203" i="1" s="1"/>
  <c r="E207" i="1"/>
  <c r="G207" i="1"/>
  <c r="E217" i="1"/>
  <c r="G217" i="1"/>
  <c r="E246" i="1"/>
  <c r="G246" i="1" s="1"/>
  <c r="E190" i="1"/>
  <c r="G190" i="1" s="1"/>
  <c r="E198" i="1"/>
  <c r="G198" i="1"/>
  <c r="E223" i="1"/>
  <c r="G223" i="1"/>
  <c r="E237" i="1"/>
  <c r="G237" i="1" s="1"/>
  <c r="E242" i="1"/>
  <c r="G242" i="1"/>
  <c r="E255" i="1"/>
  <c r="G255" i="1"/>
  <c r="E279" i="1"/>
  <c r="G279" i="1"/>
  <c r="E15" i="1"/>
  <c r="G15" i="1"/>
  <c r="E23" i="1"/>
  <c r="G23" i="1"/>
  <c r="E83" i="1"/>
  <c r="G83" i="1"/>
  <c r="E97" i="1"/>
  <c r="G97" i="1"/>
  <c r="E101" i="1"/>
  <c r="G101" i="1"/>
  <c r="E115" i="1"/>
  <c r="G115" i="1" s="1"/>
  <c r="E150" i="1"/>
  <c r="G150" i="1" s="1"/>
  <c r="E156" i="1"/>
  <c r="G156" i="1"/>
  <c r="E16" i="1"/>
  <c r="G16" i="1"/>
  <c r="E30" i="1"/>
  <c r="G30" i="1" s="1"/>
  <c r="E41" i="1"/>
  <c r="G41" i="1" s="1"/>
  <c r="E46" i="1"/>
  <c r="G46" i="1"/>
  <c r="E61" i="1"/>
  <c r="E67" i="1"/>
  <c r="G67" i="1"/>
  <c r="E80" i="1"/>
  <c r="G80" i="1" s="1"/>
  <c r="E92" i="1"/>
  <c r="G92" i="1" s="1"/>
  <c r="E102" i="1"/>
  <c r="G102" i="1"/>
  <c r="E116" i="1"/>
  <c r="G116" i="1"/>
  <c r="E129" i="1"/>
  <c r="G129" i="1" s="1"/>
  <c r="E142" i="1"/>
  <c r="G142" i="1"/>
  <c r="E145" i="1"/>
  <c r="G145" i="1"/>
  <c r="E151" i="1"/>
  <c r="G151" i="1"/>
  <c r="E195" i="1"/>
  <c r="G195" i="1" s="1"/>
  <c r="E208" i="1"/>
  <c r="G208" i="1" s="1"/>
  <c r="E214" i="1"/>
  <c r="G214" i="1" s="1"/>
  <c r="E224" i="1"/>
  <c r="G224" i="1"/>
  <c r="E233" i="1"/>
  <c r="G233" i="1" s="1"/>
  <c r="E251" i="1"/>
  <c r="G251" i="1"/>
  <c r="E266" i="1"/>
  <c r="G266" i="1"/>
  <c r="E312" i="1"/>
  <c r="G312" i="1"/>
  <c r="E19" i="1"/>
  <c r="G19" i="1" s="1"/>
  <c r="E34" i="1"/>
  <c r="G34" i="1" s="1"/>
  <c r="E49" i="1"/>
  <c r="G49" i="1"/>
  <c r="E60" i="1"/>
  <c r="G60" i="1"/>
  <c r="E72" i="1"/>
  <c r="G72" i="1" s="1"/>
  <c r="E76" i="1"/>
  <c r="G76" i="1"/>
  <c r="E108" i="1"/>
  <c r="G108" i="1"/>
  <c r="E122" i="1"/>
  <c r="G122" i="1" s="1"/>
  <c r="E136" i="1"/>
  <c r="G136" i="1" s="1"/>
  <c r="E161" i="1"/>
  <c r="G161" i="1" s="1"/>
  <c r="E173" i="1"/>
  <c r="G173" i="1"/>
  <c r="E3" i="1"/>
  <c r="G3" i="1"/>
  <c r="E8" i="1"/>
  <c r="G8" i="1" s="1"/>
  <c r="E9" i="1"/>
  <c r="G9" i="1" s="1"/>
  <c r="E12" i="1"/>
  <c r="G12" i="1" s="1"/>
  <c r="E24" i="1"/>
  <c r="G24" i="1"/>
  <c r="E36" i="1"/>
  <c r="G36" i="1"/>
  <c r="E50" i="1"/>
  <c r="G50" i="1" s="1"/>
  <c r="E62" i="1"/>
  <c r="G62" i="1"/>
  <c r="E68" i="1"/>
  <c r="G68" i="1" s="1"/>
  <c r="E73" i="1"/>
  <c r="G73" i="1"/>
  <c r="E88" i="1"/>
  <c r="G88" i="1" s="1"/>
  <c r="E98" i="1"/>
  <c r="G98" i="1" s="1"/>
  <c r="E103" i="1"/>
  <c r="G103" i="1" s="1"/>
  <c r="E109" i="1"/>
  <c r="G109" i="1"/>
  <c r="E117" i="1"/>
  <c r="G117" i="1" s="1"/>
  <c r="E123" i="1"/>
  <c r="G123" i="1" s="1"/>
  <c r="E131" i="1"/>
  <c r="G131" i="1" s="1"/>
  <c r="E152" i="1"/>
  <c r="G152" i="1"/>
  <c r="E157" i="1"/>
  <c r="G157" i="1" s="1"/>
  <c r="E162" i="1"/>
  <c r="G162" i="1"/>
  <c r="E180" i="1"/>
  <c r="G180" i="1"/>
  <c r="E185" i="1"/>
  <c r="G185" i="1"/>
  <c r="E191" i="1"/>
  <c r="G191" i="1" s="1"/>
  <c r="E199" i="1"/>
  <c r="G199" i="1"/>
  <c r="E204" i="1"/>
  <c r="G204" i="1" s="1"/>
  <c r="E219" i="1"/>
  <c r="G219" i="1" s="1"/>
  <c r="E226" i="1"/>
  <c r="G226" i="1" s="1"/>
  <c r="E239" i="1"/>
  <c r="G239" i="1"/>
  <c r="E248" i="1"/>
  <c r="G248" i="1" s="1"/>
  <c r="E252" i="1"/>
  <c r="G252" i="1" s="1"/>
  <c r="E256" i="1"/>
  <c r="G256" i="1" s="1"/>
  <c r="E210" i="1"/>
  <c r="G210" i="1"/>
  <c r="E221" i="1"/>
  <c r="G221" i="1"/>
  <c r="E230" i="1"/>
  <c r="G230" i="1"/>
  <c r="E243" i="1"/>
  <c r="G243" i="1" s="1"/>
  <c r="E257" i="1"/>
  <c r="G257" i="1" s="1"/>
  <c r="E272" i="1"/>
  <c r="G272" i="1"/>
  <c r="E7" i="1"/>
  <c r="G7" i="1" s="1"/>
  <c r="E13" i="1"/>
  <c r="G13" i="1"/>
  <c r="E17" i="1"/>
  <c r="G17" i="1" s="1"/>
  <c r="E25" i="1"/>
  <c r="G25" i="1" s="1"/>
  <c r="E35" i="1"/>
  <c r="G35" i="1"/>
  <c r="E40" i="1"/>
  <c r="G40" i="1"/>
  <c r="G45" i="1"/>
  <c r="E45" i="1"/>
  <c r="E59" i="1"/>
  <c r="G59" i="1" s="1"/>
  <c r="E65" i="1"/>
  <c r="G65" i="1" s="1"/>
  <c r="E70" i="1"/>
  <c r="G70" i="1"/>
  <c r="E74" i="1"/>
  <c r="G74" i="1" s="1"/>
  <c r="E77" i="1"/>
  <c r="G77" i="1" s="1"/>
  <c r="E84" i="1"/>
  <c r="G84" i="1" s="1"/>
  <c r="E87" i="1"/>
  <c r="G87" i="1"/>
  <c r="E91" i="1"/>
  <c r="G91" i="1" s="1"/>
  <c r="E96" i="1"/>
  <c r="G96" i="1" s="1"/>
  <c r="E106" i="1"/>
  <c r="G106" i="1" s="1"/>
  <c r="E112" i="1"/>
  <c r="G112" i="1" s="1"/>
  <c r="E118" i="1"/>
  <c r="G118" i="1" s="1"/>
  <c r="E124" i="1"/>
  <c r="G124" i="1"/>
  <c r="E130" i="1"/>
  <c r="G130" i="1"/>
  <c r="E137" i="1"/>
  <c r="G137" i="1" s="1"/>
  <c r="E149" i="1"/>
  <c r="G149" i="1" s="1"/>
  <c r="E155" i="1"/>
  <c r="G155" i="1"/>
  <c r="E159" i="1"/>
  <c r="G159" i="1"/>
  <c r="E163" i="1"/>
  <c r="G163" i="1"/>
  <c r="E169" i="1"/>
  <c r="G169" i="1" s="1"/>
  <c r="E174" i="1"/>
  <c r="G174" i="1" s="1"/>
  <c r="E179" i="1"/>
  <c r="G179" i="1" s="1"/>
  <c r="E184" i="1"/>
  <c r="G184" i="1"/>
  <c r="E189" i="1"/>
  <c r="G189" i="1" s="1"/>
  <c r="E202" i="1"/>
  <c r="G202" i="1"/>
  <c r="E206" i="1"/>
  <c r="G206" i="1"/>
  <c r="E211" i="1"/>
  <c r="G211" i="1" s="1"/>
  <c r="E215" i="1"/>
  <c r="G215" i="1" s="1"/>
  <c r="E218" i="1"/>
  <c r="G218" i="1"/>
  <c r="E222" i="1"/>
  <c r="G222" i="1"/>
  <c r="E227" i="1"/>
  <c r="G227" i="1"/>
  <c r="E232" i="1"/>
  <c r="G232" i="1" s="1"/>
  <c r="E236" i="1"/>
  <c r="G236" i="1" s="1"/>
  <c r="E240" i="1"/>
  <c r="G240" i="1"/>
  <c r="E247" i="1"/>
  <c r="G247" i="1"/>
  <c r="E250" i="1"/>
  <c r="G250" i="1" s="1"/>
  <c r="E254" i="1"/>
  <c r="G254" i="1" s="1"/>
  <c r="E261" i="1"/>
  <c r="G261" i="1"/>
  <c r="E264" i="1"/>
  <c r="G264" i="1"/>
  <c r="E281" i="1"/>
  <c r="G281" i="1" s="1"/>
  <c r="E296" i="1"/>
  <c r="G296" i="1"/>
  <c r="E308" i="1"/>
  <c r="G308" i="1"/>
  <c r="E321" i="1"/>
  <c r="G321" i="1"/>
  <c r="E330" i="1"/>
  <c r="G330" i="1" s="1"/>
  <c r="E361" i="1"/>
  <c r="G361" i="1" s="1"/>
  <c r="E375" i="1"/>
  <c r="G375" i="1" s="1"/>
  <c r="E265" i="1"/>
  <c r="G265" i="1" s="1"/>
  <c r="E269" i="1"/>
  <c r="G269" i="1" s="1"/>
  <c r="E273" i="1"/>
  <c r="G273" i="1"/>
  <c r="E277" i="1"/>
  <c r="G277" i="1" s="1"/>
  <c r="E282" i="1"/>
  <c r="G282" i="1"/>
  <c r="E286" i="1"/>
  <c r="G286" i="1" s="1"/>
  <c r="E289" i="1"/>
  <c r="G289" i="1"/>
  <c r="E305" i="1"/>
  <c r="G305" i="1"/>
  <c r="E309" i="1"/>
  <c r="G309" i="1" s="1"/>
  <c r="E315" i="1"/>
  <c r="G315" i="1" s="1"/>
  <c r="E322" i="1"/>
  <c r="G322" i="1"/>
  <c r="E334" i="1"/>
  <c r="G334" i="1"/>
  <c r="E337" i="1"/>
  <c r="G337" i="1"/>
  <c r="E341" i="1"/>
  <c r="G341" i="1" s="1"/>
  <c r="E345" i="1"/>
  <c r="G345" i="1" s="1"/>
  <c r="E353" i="1"/>
  <c r="G353" i="1"/>
  <c r="E358" i="1"/>
  <c r="G358" i="1"/>
  <c r="E364" i="1"/>
  <c r="G364" i="1" s="1"/>
  <c r="E371" i="1"/>
  <c r="G371" i="1"/>
  <c r="E386" i="1"/>
  <c r="G386" i="1"/>
  <c r="E390" i="1"/>
  <c r="G390" i="1"/>
  <c r="E395" i="1"/>
  <c r="G395" i="1" s="1"/>
  <c r="E402" i="1"/>
  <c r="G402" i="1" s="1"/>
  <c r="E283" i="1"/>
  <c r="G283" i="1" s="1"/>
  <c r="E293" i="1"/>
  <c r="G293" i="1"/>
  <c r="E302" i="1"/>
  <c r="G302" i="1" s="1"/>
  <c r="E310" i="1"/>
  <c r="G310" i="1"/>
  <c r="E316" i="1"/>
  <c r="G316" i="1"/>
  <c r="E327" i="1"/>
  <c r="G327" i="1"/>
  <c r="E350" i="1"/>
  <c r="G350" i="1" s="1"/>
  <c r="E368" i="1"/>
  <c r="G368" i="1"/>
  <c r="E376" i="1"/>
  <c r="G376" i="1" s="1"/>
  <c r="E380" i="1"/>
  <c r="G380" i="1" s="1"/>
  <c r="E396" i="1"/>
  <c r="G396" i="1" s="1"/>
  <c r="E290" i="1"/>
  <c r="G290" i="1"/>
  <c r="E294" i="1"/>
  <c r="G294" i="1"/>
  <c r="E297" i="1"/>
  <c r="G297" i="1"/>
  <c r="E306" i="1"/>
  <c r="G306" i="1" s="1"/>
  <c r="E317" i="1"/>
  <c r="G317" i="1"/>
  <c r="E323" i="1"/>
  <c r="G323" i="1"/>
  <c r="E331" i="1"/>
  <c r="G331" i="1" s="1"/>
  <c r="E335" i="1"/>
  <c r="G335" i="1" s="1"/>
  <c r="E342" i="1"/>
  <c r="G342" i="1"/>
  <c r="E346" i="1"/>
  <c r="G346" i="1"/>
  <c r="E354" i="1"/>
  <c r="G354" i="1"/>
  <c r="E359" i="1"/>
  <c r="G359" i="1" s="1"/>
  <c r="E362" i="1"/>
  <c r="G362" i="1" s="1"/>
  <c r="E365" i="1"/>
  <c r="G365" i="1"/>
  <c r="E384" i="1"/>
  <c r="G384" i="1"/>
  <c r="E387" i="1"/>
  <c r="G387" i="1" s="1"/>
  <c r="E399" i="1"/>
  <c r="G399" i="1"/>
  <c r="E403" i="1"/>
  <c r="G403" i="1"/>
  <c r="E225" i="1"/>
  <c r="G225" i="1"/>
  <c r="E229" i="1"/>
  <c r="G229" i="1" s="1"/>
  <c r="E234" i="1"/>
  <c r="G234" i="1"/>
  <c r="E238" i="1"/>
  <c r="G238" i="1"/>
  <c r="E245" i="1"/>
  <c r="G245" i="1"/>
  <c r="E259" i="1"/>
  <c r="G259" i="1" s="1"/>
  <c r="E267" i="1"/>
  <c r="G267" i="1" s="1"/>
  <c r="E271" i="1"/>
  <c r="G271" i="1" s="1"/>
  <c r="E275" i="1"/>
  <c r="G275" i="1" s="1"/>
  <c r="E278" i="1"/>
  <c r="G278" i="1" s="1"/>
  <c r="E284" i="1"/>
  <c r="G284" i="1"/>
  <c r="E287" i="1"/>
  <c r="G287" i="1"/>
  <c r="E298" i="1"/>
  <c r="G298" i="1" s="1"/>
  <c r="G303" i="1"/>
  <c r="E303" i="1"/>
  <c r="E311" i="1"/>
  <c r="G311" i="1"/>
  <c r="E318" i="1"/>
  <c r="G318" i="1"/>
  <c r="E328" i="1"/>
  <c r="G328" i="1" s="1"/>
  <c r="E338" i="1"/>
  <c r="G338" i="1" s="1"/>
  <c r="E351" i="1"/>
  <c r="G351" i="1"/>
  <c r="E369" i="1"/>
  <c r="G369" i="1"/>
  <c r="E372" i="1"/>
  <c r="G372" i="1"/>
  <c r="E377" i="1"/>
  <c r="G377" i="1" s="1"/>
  <c r="E381" i="1"/>
  <c r="G381" i="1" s="1"/>
  <c r="E391" i="1"/>
  <c r="G391" i="1"/>
  <c r="E332" i="1"/>
  <c r="G332" i="1"/>
  <c r="E343" i="1"/>
  <c r="G343" i="1" s="1"/>
  <c r="E347" i="1"/>
  <c r="G347" i="1"/>
  <c r="E355" i="1"/>
  <c r="G355" i="1"/>
  <c r="E366" i="1"/>
  <c r="G366" i="1"/>
  <c r="E378" i="1"/>
  <c r="G378" i="1" s="1"/>
  <c r="E388" i="1"/>
  <c r="G388" i="1" s="1"/>
  <c r="E392" i="1"/>
  <c r="G392" i="1" s="1"/>
  <c r="E397" i="1"/>
  <c r="G397" i="1"/>
  <c r="E400" i="1"/>
  <c r="G400" i="1" s="1"/>
  <c r="E404" i="1"/>
  <c r="G404" i="1"/>
  <c r="E260" i="1"/>
  <c r="G260" i="1"/>
  <c r="E263" i="1"/>
  <c r="G263" i="1"/>
  <c r="E268" i="1"/>
  <c r="G268" i="1" s="1"/>
  <c r="E288" i="1"/>
  <c r="G288" i="1"/>
  <c r="E291" i="1"/>
  <c r="G291" i="1"/>
  <c r="E295" i="1"/>
  <c r="G295" i="1"/>
  <c r="E307" i="1"/>
  <c r="G307" i="1" s="1"/>
  <c r="E313" i="1"/>
  <c r="G313" i="1"/>
  <c r="E319" i="1"/>
  <c r="G319" i="1" s="1"/>
  <c r="E329" i="1"/>
  <c r="G329" i="1" s="1"/>
  <c r="E333" i="1"/>
  <c r="G333" i="1" s="1"/>
  <c r="E336" i="1"/>
  <c r="G336" i="1"/>
  <c r="E339" i="1"/>
  <c r="G339" i="1"/>
  <c r="E348" i="1"/>
  <c r="G348" i="1"/>
  <c r="E352" i="1"/>
  <c r="G352" i="1" s="1"/>
  <c r="E356" i="1"/>
  <c r="G356" i="1"/>
  <c r="E360" i="1"/>
  <c r="G360" i="1"/>
  <c r="E363" i="1"/>
  <c r="G363" i="1" s="1"/>
  <c r="E370" i="1"/>
  <c r="G370" i="1" s="1"/>
  <c r="E373" i="1"/>
  <c r="G373" i="1"/>
  <c r="E382" i="1"/>
  <c r="G382" i="1"/>
  <c r="E385" i="1"/>
  <c r="G385" i="1"/>
  <c r="E389" i="1"/>
  <c r="G389" i="1" s="1"/>
  <c r="E393" i="1"/>
  <c r="G393" i="1" s="1"/>
  <c r="E276" i="1"/>
  <c r="G276" i="1"/>
  <c r="E280" i="1"/>
  <c r="G280" i="1"/>
  <c r="E285" i="1"/>
  <c r="G285" i="1" s="1"/>
  <c r="E292" i="1"/>
  <c r="G292" i="1" s="1"/>
  <c r="E301" i="1"/>
  <c r="G301" i="1" s="1"/>
  <c r="E304" i="1"/>
  <c r="G304" i="1"/>
  <c r="E314" i="1"/>
  <c r="G314" i="1" s="1"/>
  <c r="E320" i="1"/>
  <c r="G320" i="1"/>
  <c r="E326" i="1"/>
  <c r="G326" i="1"/>
  <c r="E340" i="1"/>
  <c r="G340" i="1" s="1"/>
  <c r="E344" i="1"/>
  <c r="G344" i="1" s="1"/>
  <c r="E349" i="1"/>
  <c r="G349" i="1" s="1"/>
  <c r="E357" i="1"/>
  <c r="G357" i="1"/>
  <c r="E367" i="1"/>
  <c r="G367" i="1" s="1"/>
  <c r="E374" i="1"/>
  <c r="G374" i="1" s="1"/>
  <c r="E379" i="1"/>
  <c r="G379" i="1" s="1"/>
  <c r="E383" i="1"/>
  <c r="G383" i="1" s="1"/>
  <c r="E394" i="1"/>
  <c r="G394" i="1"/>
  <c r="E398" i="1"/>
  <c r="G398" i="1" s="1"/>
  <c r="E401" i="1"/>
  <c r="G401" i="1"/>
  <c r="E405" i="1"/>
  <c r="G405" i="1"/>
  <c r="E299" i="1"/>
  <c r="G299" i="1"/>
  <c r="E53" i="1"/>
  <c r="G53" i="1"/>
  <c r="E140" i="1"/>
  <c r="G140" i="1" s="1"/>
  <c r="E165" i="1"/>
  <c r="G165" i="1"/>
  <c r="E300" i="1"/>
  <c r="G300" i="1"/>
  <c r="E177" i="1"/>
  <c r="G177" i="1"/>
  <c r="E89" i="1"/>
  <c r="G89" i="1" s="1"/>
  <c r="E167" i="1"/>
  <c r="G167" i="1"/>
  <c r="E168" i="1"/>
  <c r="G168" i="1"/>
  <c r="E27" i="1"/>
  <c r="G27" i="1" s="1"/>
  <c r="E324" i="1"/>
  <c r="G324" i="1" s="1"/>
  <c r="E139" i="1"/>
  <c r="G139" i="1"/>
  <c r="E325" i="1"/>
  <c r="G325" i="1" s="1"/>
  <c r="E166" i="1"/>
  <c r="G166" i="1" s="1"/>
  <c r="E54" i="1"/>
  <c r="G54" i="1"/>
  <c r="E274" i="1"/>
  <c r="G274" i="1" s="1"/>
</calcChain>
</file>

<file path=xl/sharedStrings.xml><?xml version="1.0" encoding="utf-8"?>
<sst xmlns="http://schemas.openxmlformats.org/spreadsheetml/2006/main" count="1507" uniqueCount="437">
  <si>
    <t>ACEITE GIRASOL PREMIER X900ML</t>
  </si>
  <si>
    <t>ACEITE GIRASOL COSTA DEL SOL X900ML</t>
  </si>
  <si>
    <t>ACEITE GIRASOL BONOLEO X900ML</t>
  </si>
  <si>
    <t>ARROZ TIO CARLOS 10X500</t>
  </si>
  <si>
    <t>ARROZ CAROGRAN 10X500</t>
  </si>
  <si>
    <t>ARROZ CAROGRAN 10X1KG</t>
  </si>
  <si>
    <t>AZUCAR ECONÓMICA</t>
  </si>
  <si>
    <t>CACAO CHOCOLINO X180GR</t>
  </si>
  <si>
    <t>CAFÉ EN SAQUITOS LA VIRGINIA 5GR</t>
  </si>
  <si>
    <t>CAFÉ EN SAQUITOS LA VIRGINIA 7GR</t>
  </si>
  <si>
    <t>CAFÉ INSTANTANEO X36 SOBRES</t>
  </si>
  <si>
    <t>CAFÉ MOLIDO LA VIRGINIA 250GR</t>
  </si>
  <si>
    <t>CAFE MOLIDO LA VIRGINIA X125GR</t>
  </si>
  <si>
    <t>CAFE INSTANTANEO CLASICO DP 170GR</t>
  </si>
  <si>
    <t>CAFE INSTANTANEO SUAVE DP 170GR</t>
  </si>
  <si>
    <t>CALDO ALICANTE</t>
  </si>
  <si>
    <t>CALDO KNORR CARNE X12</t>
  </si>
  <si>
    <t>CALDO KNORR GALLINA X12</t>
  </si>
  <si>
    <t>CALDO KNORR VERDURAS X12</t>
  </si>
  <si>
    <t>CAPUCHINO X10 SOBRES</t>
  </si>
  <si>
    <t>EDULCORANTE SI-LIGTH 6X600ML</t>
  </si>
  <si>
    <t>EDULCORANTE SI-DIET 6X200</t>
  </si>
  <si>
    <t>EDULCORANTE STEVIA SI-DIET 6X200</t>
  </si>
  <si>
    <t>MERMELADA DE LA HUERTA X454GR</t>
  </si>
  <si>
    <t>LECHE BAGGIO DESCREMADA 8X1LT</t>
  </si>
  <si>
    <t>LECHE BAGGIO ENTERA 8X1LT</t>
  </si>
  <si>
    <t xml:space="preserve">FIDEO PROVIDENCIA </t>
  </si>
  <si>
    <t>FIDEO PROVIDENCIA CABELLO DE ANGEL</t>
  </si>
  <si>
    <t>HARINA 000 FLORENCIA</t>
  </si>
  <si>
    <t>HARINA 0000 FLORENCIA</t>
  </si>
  <si>
    <t>HARINA LEUDANTE FLORENCIA</t>
  </si>
  <si>
    <t>HARINA FLORENCIA PARA PIZZA</t>
  </si>
  <si>
    <t>POLENTA LA NONNA X400GR</t>
  </si>
  <si>
    <t>PICADILLO LA NEGRA X90GR</t>
  </si>
  <si>
    <t>PULPA DE TOMATE HUERTA 8X1018GR</t>
  </si>
  <si>
    <t>PULPA DE TOMATE 7 DIAS 18X205GR</t>
  </si>
  <si>
    <t>PULPA DE TOMATE 7 DIAS 8X1018GR</t>
  </si>
  <si>
    <t>PULPA DE TOMATE 7 DIAS 12X520GR</t>
  </si>
  <si>
    <t>PURE DE TOMATE 7 DIAS 12X530GR</t>
  </si>
  <si>
    <t>PURE DE TOMATE HUERTA 12X530GR</t>
  </si>
  <si>
    <t>PURE DE TOMATE HUERTA 18X210GR</t>
  </si>
  <si>
    <t>PURE DE TOMATE HUERTA 8X1030GR</t>
  </si>
  <si>
    <t>SAL FINA TRESAL X500GR</t>
  </si>
  <si>
    <t>SAL ENTREFINA TRESAL XKG</t>
  </si>
  <si>
    <t>SAL GRUESA TRESAL XKG</t>
  </si>
  <si>
    <t>SALSA DE TOMATE CHICA "PICO DE ORO" X15</t>
  </si>
  <si>
    <t>TE LA VIRGINIA X25</t>
  </si>
  <si>
    <t>YERBA VERDE FLOR SERRANA X500GR</t>
  </si>
  <si>
    <t>SALSA DE TOMATE GRANDE "PICO DE ORO" X8</t>
  </si>
  <si>
    <t>SALSA DE TOMATE MEDIANA "PICO DE ORO" X12</t>
  </si>
  <si>
    <t>LENTEJAS LA NONNA X400GR</t>
  </si>
  <si>
    <t>MAYONESA HELLMANS 12X237GR</t>
  </si>
  <si>
    <t>MAYONESA HELLMANS 20X118GR</t>
  </si>
  <si>
    <t>ATUN CUMANA DESMENUZADO EN ACEITE</t>
  </si>
  <si>
    <t>ATUN CUMANA DESMUNAZADO AL NATURAL</t>
  </si>
  <si>
    <t>CHAMPIGNON LAMINADO CUMANA X284GR</t>
  </si>
  <si>
    <t>CHAMPIGNON ENTERO CUMANA X284GR</t>
  </si>
  <si>
    <t>CABALLA AL NATURA X380GR</t>
  </si>
  <si>
    <t>CABALLA EN ACEITE CUMANA X380GR</t>
  </si>
  <si>
    <t>ANANA RODAJAS CUMANA X850GR</t>
  </si>
  <si>
    <t>CHOCLO EN LATA CUMANA X300GR</t>
  </si>
  <si>
    <t>MORRON CUMANA X185GR</t>
  </si>
  <si>
    <t>TOMATE PERITA CUMANA X400GR</t>
  </si>
  <si>
    <t>EXTRACTO DE TOMATE 150GR</t>
  </si>
  <si>
    <t>JUGO RINDE 2</t>
  </si>
  <si>
    <t>VODKA NEWSTYLE BIO EVOLUTION X1LT</t>
  </si>
  <si>
    <t>VODKA NEWSTYLE BIO EVOLUTION X1LT NUEVOS SABORES</t>
  </si>
  <si>
    <t>VODKA NEWSTYLE SABORIZADO X1LT</t>
  </si>
  <si>
    <t>RON COCO BONGO X1LT</t>
  </si>
  <si>
    <t>BAGGIO FRESH LIMONE 6X1500</t>
  </si>
  <si>
    <t>BAGGIO FRESH MANZANA 6x1500</t>
  </si>
  <si>
    <t>BAGGIO FRESH MIX FRUTAL 6X1500</t>
  </si>
  <si>
    <t>BAGGIO FRESH NARANJA 6X1500</t>
  </si>
  <si>
    <t>BAGGIO FRESH POMELO 6X1500</t>
  </si>
  <si>
    <t>CHIZITO AMARILLO</t>
  </si>
  <si>
    <t>CHIZITO NARANJA</t>
  </si>
  <si>
    <t>CONITO 3D LAWYS</t>
  </si>
  <si>
    <t>MANI SABORIZADO JAMON</t>
  </si>
  <si>
    <t>MANI SABORIZADO PIZZA</t>
  </si>
  <si>
    <t>MANI SABORIZADO QUESO</t>
  </si>
  <si>
    <t>MANI SABORIZADO SALAME</t>
  </si>
  <si>
    <t>MANI SALADO</t>
  </si>
  <si>
    <t>PALITO SALADO</t>
  </si>
  <si>
    <t>PAPA CLASICA FANEGA</t>
  </si>
  <si>
    <t>PAPA SABOR KETCHUP FANEGA</t>
  </si>
  <si>
    <t>PUFLITO</t>
  </si>
  <si>
    <t>TUTUCA x1KG</t>
  </si>
  <si>
    <t>JUGO MINYO ACIDO PARA CONGELAR X30</t>
  </si>
  <si>
    <t>JUGO DULCIN PARA CONGELAR X30</t>
  </si>
  <si>
    <t>ALFAJOR GUAYMALLEN SIMPLE X40U BLANCO</t>
  </si>
  <si>
    <t>ALFAJOR GUAYMALLEN SIMPLE X40U NEGRO</t>
  </si>
  <si>
    <t>ALFAJOR GUAYMALLEN TRIPLE X24U B</t>
  </si>
  <si>
    <t>ALFAJOR GUAYMALLEN TRIPLE X24U N</t>
  </si>
  <si>
    <t>ALFAJOR GUAYMALLEN TRIPLE X24U FRUTA</t>
  </si>
  <si>
    <t>ALFAJOR FULBITO MANI X40U</t>
  </si>
  <si>
    <t>ALFAJOR FULBITO CHOCOLATE X40U</t>
  </si>
  <si>
    <t>ALFAJOR FULBITO BLACK X40U</t>
  </si>
  <si>
    <t>ALFAJOR SMACK BLANCO X24U</t>
  </si>
  <si>
    <t>ALFAJOR TRIPLE GENIO X24U B</t>
  </si>
  <si>
    <t>ALFAJOR TRIPLE GENIO X24U N</t>
  </si>
  <si>
    <t>TORTA GENIO NEGRO X20</t>
  </si>
  <si>
    <t>TORTA GENIO BLANCO X20</t>
  </si>
  <si>
    <t>TURRON FULBITO X50</t>
  </si>
  <si>
    <t>ALFAJOR MOGGY NEGRO X40</t>
  </si>
  <si>
    <t>ALFAJOR MOGGY BLANCO X40</t>
  </si>
  <si>
    <t>PEPAS AIRES DE LUJAN X180GR</t>
  </si>
  <si>
    <t>RAPSODIA X24</t>
  </si>
  <si>
    <t>PICNIC X40</t>
  </si>
  <si>
    <t>TORTA SMACK NEGRO X20</t>
  </si>
  <si>
    <t>BOMBON SMACK X30</t>
  </si>
  <si>
    <t>CUBANITO SMACK X48</t>
  </si>
  <si>
    <t>OBLEA SMACK RELLENA X48</t>
  </si>
  <si>
    <t>ALFAJOR SMACK DULCE DE LECHE X24</t>
  </si>
  <si>
    <t>ALFAJOR SMACK MOUSSE CHOCOLATE X24</t>
  </si>
  <si>
    <t>BOCADITO NEVARES X23GR</t>
  </si>
  <si>
    <t>GALLETA SURTIDA ZUPAY X3050GR</t>
  </si>
  <si>
    <t>MAGDALENA POZO X200GR</t>
  </si>
  <si>
    <t>MAGDALENA POZO CLASICA X200GR</t>
  </si>
  <si>
    <t>MAGDALENA POZO RELLENA DULCE DE LECHE X200GR</t>
  </si>
  <si>
    <t>MAGDALENA POZO CHIPS X200GR</t>
  </si>
  <si>
    <t>MAGDALENA POZO MARMOLADAS X200GR</t>
  </si>
  <si>
    <t>MAGDALENA POZO COCO RELLENO DULCE DE LECHE X200GR</t>
  </si>
  <si>
    <t>MAGDALENA POZO CHOCO RELLENO DULCE DE LECHE X200GR</t>
  </si>
  <si>
    <t>BUDIN POZO CHIPS X160GR</t>
  </si>
  <si>
    <t>BUDIN VAINILLA X160GR</t>
  </si>
  <si>
    <t>BUDIN MARMOLADO X170GR</t>
  </si>
  <si>
    <t>PUDDING POZO CHOCOLATE C/ALMENDRAS X300GR</t>
  </si>
  <si>
    <t>PUDDING POZO VAINILLA RELL DULCE DE LECHE X300GR</t>
  </si>
  <si>
    <t>PAN DULCE BUON NATALE X400GR</t>
  </si>
  <si>
    <t>PAN DULCE NEVARES C/CHIPS X500GR</t>
  </si>
  <si>
    <t>GALLETA ARGENTITAS X3</t>
  </si>
  <si>
    <t>GALLETA DALE MARIA X145GR</t>
  </si>
  <si>
    <t>GALLETA DALE FRUTILLA X81GR</t>
  </si>
  <si>
    <t>GALLETA DALE VAINILLA X81GR</t>
  </si>
  <si>
    <t>GALLETA DALE CHOCOLATE X81GR</t>
  </si>
  <si>
    <t>GALLETA CHOCO PAMELA X170GR</t>
  </si>
  <si>
    <t>GALLETA CHOCO PAMELA X220GR</t>
  </si>
  <si>
    <t>GALLETAS MINI PAMELA X45GR</t>
  </si>
  <si>
    <t>GALLETAS MINI PAMELA X180GR</t>
  </si>
  <si>
    <t>GALLETA PAMELA RELLENA CHOCOLATE 97GR</t>
  </si>
  <si>
    <t>GALLETA PAMELA RELLENA VAINILLA 97GR</t>
  </si>
  <si>
    <t>MAGDALENAS PAMELA CON CHIPS 200G</t>
  </si>
  <si>
    <t>MAGDALENAS PAMELA MARMOLADA 200G</t>
  </si>
  <si>
    <t>MAGDALENAS PAMELA VAINILLA C/DDL  X200G</t>
  </si>
  <si>
    <t>MAGDALENAS PAMELA BAÑADAS C/DDLY GRANAS 200G</t>
  </si>
  <si>
    <t>GALLETAS SURTIDAS ZUPAY X350GR</t>
  </si>
  <si>
    <t>GALLETAS SURTIDAS ZUPAY GLASEADAS X300GR</t>
  </si>
  <si>
    <t>GALLETAS AIRE DE LUJAN CHOCOLATE  X180GR</t>
  </si>
  <si>
    <t>GALLETITAS FULBITO X120GR</t>
  </si>
  <si>
    <t>GALLETAS COQUITOS X45GR</t>
  </si>
  <si>
    <t>GALLETAS PALMERITAS X45GR</t>
  </si>
  <si>
    <t>GALLETAS BOQUITAS DE LIMON X45GR</t>
  </si>
  <si>
    <t>GALLETA FESTIVA MAX X350GR</t>
  </si>
  <si>
    <t>GALLETA FESTIVA CHIPS X300GR</t>
  </si>
  <si>
    <t>GALLETA MAFALDA TRIANGULOS X150GR</t>
  </si>
  <si>
    <t>GALLETA MAFALDA LARGUITAS X150GR</t>
  </si>
  <si>
    <t>GALLETA MINI OREO X50GR</t>
  </si>
  <si>
    <t>GALLETA MINI MANTEQUITA X45GR</t>
  </si>
  <si>
    <t>GALLETA MINI CHIPS X50GR</t>
  </si>
  <si>
    <t>GALLETA OREO X118GR</t>
  </si>
  <si>
    <t>GALLETA POLVORITA X80GR FRUTILLA</t>
  </si>
  <si>
    <t>GALLETA POLVORITA X80GR VAINILLA</t>
  </si>
  <si>
    <t>GALLETA PROVIDENCIA X3</t>
  </si>
  <si>
    <t>OBLEA TYM VAINILLA X50GR</t>
  </si>
  <si>
    <t>OBLEA TYM FRUTILLA X50GR</t>
  </si>
  <si>
    <t>OBLEA TYM DULCE DE LECHE X50GR</t>
  </si>
  <si>
    <t>OBLEA TYM CHOCOLATE X50GR</t>
  </si>
  <si>
    <t>OBLEAS CHOCOLATE HIP HOP X75GR</t>
  </si>
  <si>
    <t>OBLEAS FRUTILLA HIP HOP X75GR</t>
  </si>
  <si>
    <t>OBLEAS VAINILLA HIP HOP X75GR</t>
  </si>
  <si>
    <t>OBLEAS ZUPAY CLASICA 4X50GR</t>
  </si>
  <si>
    <t>OBLEAS ZUPAY CHOCOLATE X50GR.</t>
  </si>
  <si>
    <t>OBLEAS ZUPAY FRUTILLA X50GR</t>
  </si>
  <si>
    <t>OBLEAS ZUPAY VAINILLA X50GR</t>
  </si>
  <si>
    <t>POLVORITA CHOCOLATE X80GR</t>
  </si>
  <si>
    <t>POLVORON X3KG</t>
  </si>
  <si>
    <t>VAINILLA MAURI X80GR</t>
  </si>
  <si>
    <t>GALLETA DON PAOLO SURTIDAS X300GR</t>
  </si>
  <si>
    <t xml:space="preserve">AZUKITA CON BILLETES </t>
  </si>
  <si>
    <t>TURRON TURROC OBLITA 48 U. X 21 G.</t>
  </si>
  <si>
    <t>CUBANITO OBLITA X 48 U. VARIOS SABORES</t>
  </si>
  <si>
    <t>CUBANITO OBLITA X 15 P. X 4 U. X VARIOS SABORES</t>
  </si>
  <si>
    <t>OBLEA BAÑADA OBLIBON X 20 U. X 28 G. NEGRA</t>
  </si>
  <si>
    <t>OBLEA BAÑADA OBLIBON X 20 U. X 28 G. BLANCA</t>
  </si>
  <si>
    <t>OBLEA OBLITA FIT X 24 U. X 16 G. LIMON</t>
  </si>
  <si>
    <t>BOCADITO OBLIBON X 36 U. VARIOS SABORES</t>
  </si>
  <si>
    <t>BOMBON OBLIBON X 30 U. VARIOS SABORES</t>
  </si>
  <si>
    <t>BOMBON OBLIBON X 15 U. X 15 G. MIX</t>
  </si>
  <si>
    <t>BOMBON OBLIBON HEXAGONAL X 10 U. X 15 G. CLASICO</t>
  </si>
  <si>
    <t>BOMBON OBLIBON HEXAGONAL X 10 U. X 15 G. BLANCO</t>
  </si>
  <si>
    <t>CARAMELO ALKA ACIDOS X800GR</t>
  </si>
  <si>
    <t>CARAMELO ALKA CREMOSO X800GR</t>
  </si>
  <si>
    <t>CARAMELO ALKA NEGRO X800GR</t>
  </si>
  <si>
    <t>CARAMELO ALKA ROJO X800GR</t>
  </si>
  <si>
    <t>CARAMELO ALKA VERDE X800GR</t>
  </si>
  <si>
    <t>CARAMELO MENTA CRISTAL MISKY</t>
  </si>
  <si>
    <t>MASTICABLE TNT ACIDO X60</t>
  </si>
  <si>
    <t>MASTICABLE TNT PINTALENGUA X60</t>
  </si>
  <si>
    <t>CHICLE CROC UVA X40</t>
  </si>
  <si>
    <t>CHICLE CROC RECARGADO FRAMBUEZA X40</t>
  </si>
  <si>
    <t>CHICLE CROC RECARGADO MENTA X40</t>
  </si>
  <si>
    <t>CHICLE TNT ACIDO X40</t>
  </si>
  <si>
    <t>CARAMELO FREEGELLS X12</t>
  </si>
  <si>
    <t>CHOCOLATE HERSHEY AIREADO CHOCOLATE CON LECHE X85GR</t>
  </si>
  <si>
    <t>CHOCOLATE HERSHEY 73% CACAO X85GR</t>
  </si>
  <si>
    <t>CHOCOLATE HERSHEY COOKIES AND CREME X77GR</t>
  </si>
  <si>
    <t>CHOCOLATE P/TAZA ALTEZA</t>
  </si>
  <si>
    <t>CHUPETIN CRAZY POP FRUTILLA X20</t>
  </si>
  <si>
    <t>CHUPETIN CRAZY POP UVA X20</t>
  </si>
  <si>
    <t>CHUPETIN CRAZY POP SANDIA X20</t>
  </si>
  <si>
    <t>CHUPETIN CRAZY POP NARANJA X20</t>
  </si>
  <si>
    <t>CHUPETIN EVOLUTIÓN AZUL</t>
  </si>
  <si>
    <t>CHUPETIN EVOLUTION FEST</t>
  </si>
  <si>
    <t>CHUPETIN EVOLUTION ROJO</t>
  </si>
  <si>
    <t>CHUPETIN EVOLUTION ACIDO</t>
  </si>
  <si>
    <t>CHUPETIN POP MANIA CEREZA</t>
  </si>
  <si>
    <t>CHUPETIN POP MANIA FRAMBUEZA</t>
  </si>
  <si>
    <t>CHUPETIN POP MANIA FRUTILLA</t>
  </si>
  <si>
    <t>CHUPETIN TNT X48</t>
  </si>
  <si>
    <t>GUMMI ZONE PIZZA X24</t>
  </si>
  <si>
    <t>GUMMI ZONE BURGUER X24</t>
  </si>
  <si>
    <t>GUMMI ZONE DOGGIE X24</t>
  </si>
  <si>
    <t>GOMITA OJITOS X30</t>
  </si>
  <si>
    <t>GOMITA FRUTILLA X30</t>
  </si>
  <si>
    <t>GOMITA PIÑATA ANILLO X700GR</t>
  </si>
  <si>
    <t>GOMITA PIÑATA HUESITO X700GR</t>
  </si>
  <si>
    <t>GOMITA PIÑATA REDONDA X700GR</t>
  </si>
  <si>
    <t>GOMITA PIÑATA SURTIDAS X700GR</t>
  </si>
  <si>
    <t>GOMITA PIÑATA ANILLO CRUNCH X700GR</t>
  </si>
  <si>
    <t>GOMITA PIÑATA UVITA CRUNCH X700GR</t>
  </si>
  <si>
    <t>GOMITA PIÑATA EUCALIPTO X700GR</t>
  </si>
  <si>
    <t>GOMITA YUMMY FRUTILLA A LA CREMA X500gr</t>
  </si>
  <si>
    <t>GOMITA YUMMY MORAS X500Gr</t>
  </si>
  <si>
    <t>GOMITA YUMMY x500 BANANA</t>
  </si>
  <si>
    <t>GOMITA YUMMY X500GR OSITOS</t>
  </si>
  <si>
    <t>GOMITA YUMMY X500GR OSITOS ACIDOS</t>
  </si>
  <si>
    <t>GOMITA YUMMY X500GRS CIEN PIES</t>
  </si>
  <si>
    <t>HAMLET ALMENDRAS Y MANI x43GR</t>
  </si>
  <si>
    <t>HAMLET BICOLOR X43GR</t>
  </si>
  <si>
    <t>HAMLET BLANCO X43GR</t>
  </si>
  <si>
    <t>HAMLET CHOCOLATOSO X43GR</t>
  </si>
  <si>
    <t>HAMLET COCO X43GR</t>
  </si>
  <si>
    <t>HAMLET COOKIES X43GR</t>
  </si>
  <si>
    <t>HAMLET YOGHURT FRUTILLA X43GR</t>
  </si>
  <si>
    <t>MALVADISCOS GONGYS</t>
  </si>
  <si>
    <t>MALVADISCOS GONGYS X200GR</t>
  </si>
  <si>
    <t>REGALIZ BULLDOG X12</t>
  </si>
  <si>
    <t>REGALIZ BULLDOG X360GR</t>
  </si>
  <si>
    <t>POTE BILLIKEN YOGURTH X600GR</t>
  </si>
  <si>
    <t>CHICLE BELDENT X20</t>
  </si>
  <si>
    <t>MASTICABLE BILLIKEN FRUTAL</t>
  </si>
  <si>
    <t>MASTICABLE BILLIKEN YOGURTH</t>
  </si>
  <si>
    <t>MASTICABLE MISKY</t>
  </si>
  <si>
    <t>MENTITA LA CASA KID DULCE DE LECHE</t>
  </si>
  <si>
    <t>MENTITA LA CASA SABOR FRUTA X12</t>
  </si>
  <si>
    <t>MENTITA LA CASA SABOR MENTA X12</t>
  </si>
  <si>
    <t>MENTITA LA CASA SABOR TUTTI X12</t>
  </si>
  <si>
    <t>MENTITA SABOR BANANA X12</t>
  </si>
  <si>
    <t>OBLEAS TYM BAÑADA CHOCOLATE x20</t>
  </si>
  <si>
    <t>PASTILLA BIYU</t>
  </si>
  <si>
    <t>PASTILLAS BULLDOG X12U</t>
  </si>
  <si>
    <t>PASTILLAS YIPI X12U</t>
  </si>
  <si>
    <t>ROMPEMUELAS</t>
  </si>
  <si>
    <t>SAPITO CHOCOLATOSO X24U</t>
  </si>
  <si>
    <t>SAPITO SABOR DULCE DE LECHE</t>
  </si>
  <si>
    <t>SAPITO SABOR FRUTILLA</t>
  </si>
  <si>
    <t>SAPITO SABOR MANI</t>
  </si>
  <si>
    <t>TURRON DE ARROZ X30</t>
  </si>
  <si>
    <t>YUMMY ANIMALITOS X12</t>
  </si>
  <si>
    <t>YUMMY DINO X12</t>
  </si>
  <si>
    <t>YUMMY MORA X12</t>
  </si>
  <si>
    <t>YUMMY OSITO X12</t>
  </si>
  <si>
    <t>YUMMY OSITOS ÁCIDOS X12</t>
  </si>
  <si>
    <t>YUMMY PIECITOS X12</t>
  </si>
  <si>
    <t>JUGO BAGGIO PRONTO X125ML</t>
  </si>
  <si>
    <t>JUGO BAGGIO PRONTO X200ML</t>
  </si>
  <si>
    <t>JUGO BAGGIO FRESH X200ML</t>
  </si>
  <si>
    <t>JUGO BAGGIO PRONTO X1LT</t>
  </si>
  <si>
    <t>CHOCOLATADA BAGGIO X200</t>
  </si>
  <si>
    <t>CHOCOLATADA BAGGIO X1LT</t>
  </si>
  <si>
    <t>CHOCOLATADA 7 DIAS X200</t>
  </si>
  <si>
    <t>CHOCOLATADA 7 DIAS X1LT</t>
  </si>
  <si>
    <t>JUGO BAGGIO DURAZNO X125 ML</t>
  </si>
  <si>
    <t>JUGO BAGGIO DURAZNO X200 ML</t>
  </si>
  <si>
    <t>JUGO BAGGIO FRESH MANZANA X200</t>
  </si>
  <si>
    <t>JUGO BAGGIO FRESH MIX FRUTAL X200</t>
  </si>
  <si>
    <t>JUGO BAGGIO FRESH NARANJA X200</t>
  </si>
  <si>
    <t>JUGO BAGGIO MANZANA X200 ML</t>
  </si>
  <si>
    <t>JUGO BAGGIO MIX FRUTAL X200 ML</t>
  </si>
  <si>
    <t>JUGO BAGGIO MIXFRUTAL X125ML</t>
  </si>
  <si>
    <t>JUGO BAGGIO NARANJA X200 ML</t>
  </si>
  <si>
    <t>LAVANDINA EN GEL HEROE X700ML</t>
  </si>
  <si>
    <t>LAVANDINA HEROE X1LT</t>
  </si>
  <si>
    <t>LAVANDINA HEROE X2LTS</t>
  </si>
  <si>
    <t>ACONDICIONADOR SEDAL DOYPACK BALANCE X300 ML</t>
  </si>
  <si>
    <t>ACONDICIONADOR SEDAL DOYPACK CERAMIDAS X300ML</t>
  </si>
  <si>
    <t>ACONDICIONADOR SUAVE BRILLOS CERAMIDAS X930ML</t>
  </si>
  <si>
    <t>ALA LAVAVAJILLA CREM GLICERINA 750ML</t>
  </si>
  <si>
    <t>ALA LAVAVAJILLA CRIS LIMON 750ML</t>
  </si>
  <si>
    <t>ALA POLVO LAVADO A MANO 400GR</t>
  </si>
  <si>
    <t>ALA POLVO MATIC SOL MAX X400GR</t>
  </si>
  <si>
    <t>DESODORANTE AXE X150ML</t>
  </si>
  <si>
    <t>DESODORANTE AXE APOLLO X150 ML</t>
  </si>
  <si>
    <t>DESODORANTE AXE BIZARRAP 150 ML</t>
  </si>
  <si>
    <t>DESODORANTE AXE DARK X150ML</t>
  </si>
  <si>
    <t>DESODORANTE AXE GOLD VAINILLA 152ML</t>
  </si>
  <si>
    <t>DETERGENTE HEROE ULTRA MANZANA X300ML</t>
  </si>
  <si>
    <t>DETERGENTE HEROE ULTRA LIMON X300ML</t>
  </si>
  <si>
    <t>DETERGENTE HEROE ULTRA LIMON X500ML</t>
  </si>
  <si>
    <t>DETERGENTE HEROE ULTRA MANZANA X500ML</t>
  </si>
  <si>
    <t>JABON LIQUIDO HEROE BOTELLA X800ML</t>
  </si>
  <si>
    <t>JABON LIQUIDO HEROE DOY PACK X800ml</t>
  </si>
  <si>
    <t>JABON LIQUIDO HEROE BOTELLA BIO EVO X800ML</t>
  </si>
  <si>
    <t>JABON LIQUIDO HEROE DOY PACK X3LTS</t>
  </si>
  <si>
    <t>JABON LIQUIDO HEROE DOY PACK BIO EVO X3LTS</t>
  </si>
  <si>
    <t>JABON LUX FLOR DE VAINILLA X125GR</t>
  </si>
  <si>
    <t>JABON LUX LIRIO AZUL X125GR</t>
  </si>
  <si>
    <t>JABON LUX ROSA FRANCESA X125GR</t>
  </si>
  <si>
    <t>JABON REXONA ACTIVE X125GR</t>
  </si>
  <si>
    <t>JABON REXONA BAMBOO X125GR</t>
  </si>
  <si>
    <t>JABON REXONA COTTON FRESH X125GR</t>
  </si>
  <si>
    <t>JABON REXONA SENSIBLE FRESH X125GR</t>
  </si>
  <si>
    <t>LAVAVAJILLA HEROE GLICERINA X750</t>
  </si>
  <si>
    <t>LAVAVAJILLA HEROE LIMON X750</t>
  </si>
  <si>
    <t>LIMPIADOR HEROE X900</t>
  </si>
  <si>
    <t>SUAVIZANTE HEROE BRISA SILVESTRE X900</t>
  </si>
  <si>
    <t>LIMPIADOR HEROE A.VERANO X900</t>
  </si>
  <si>
    <t>LIMPIADOR HEROE LAVANDA X900</t>
  </si>
  <si>
    <t>LIMPIADOR HEROE PRIMAVERA X900</t>
  </si>
  <si>
    <t>LIMPIADOR HEROE PINO X900</t>
  </si>
  <si>
    <t>LIMPIADOR HEROE B. DEL MAR X900</t>
  </si>
  <si>
    <t>LIMPIADOR HEROE LIMON X900</t>
  </si>
  <si>
    <t xml:space="preserve">PAÑALES HUGGIES VARIOS TALLES X 8U </t>
  </si>
  <si>
    <t>PAÑALES HUGGIES G 8U</t>
  </si>
  <si>
    <t>PAÑALES HUGGIES M 8U</t>
  </si>
  <si>
    <t>PAÑALES HUGGIES P 8U</t>
  </si>
  <si>
    <t>PAÑALES HUGGIES XG 8U</t>
  </si>
  <si>
    <t>PAÑALES HUGGIES XXG 8U</t>
  </si>
  <si>
    <t>PAPEL HIGIENICO FELPITA X4</t>
  </si>
  <si>
    <t>MAQUINA AFEITAR MINORA X10</t>
  </si>
  <si>
    <t>PRESTOBARBA GILLETE 2 FILOS X10U</t>
  </si>
  <si>
    <t>REXONA ODORONO X60GR</t>
  </si>
  <si>
    <t>INSECT CUCARACHICIDA SIN OLOR ESCUDO X360ML</t>
  </si>
  <si>
    <t>INSECT MATA PULGAS Y GARRAPATAS ESCUDO X400ML</t>
  </si>
  <si>
    <t>INSECT MATA MOSCA Y MOSQUITOS X360ML</t>
  </si>
  <si>
    <t>INSECT MATA MOSCA Y MOSQUITOS SIN OLOR X360ML</t>
  </si>
  <si>
    <t>REPELENTE ESCUDO AEROSOLO ORIGINAL 180ML</t>
  </si>
  <si>
    <t>ESPIRALES RAID</t>
  </si>
  <si>
    <t>RAID AER MMM 380CM3</t>
  </si>
  <si>
    <t>ROLLO DE COCINA CARTABELLA X3</t>
  </si>
  <si>
    <t>SHAMPOO SEDAL DOYPACK BALANCE X300 ML</t>
  </si>
  <si>
    <t>SHAMPOO SEDAL DOYPACK SERAMIDAS X300 ML</t>
  </si>
  <si>
    <t>SHAMPOO SEDAL SOBRES</t>
  </si>
  <si>
    <t>SHAMPOO SUAVE CERAMIDAS X930ML</t>
  </si>
  <si>
    <t>TALCO EFFICIENT ORIGINAL X100GR</t>
  </si>
  <si>
    <t>TOALLITAS HUMEDAS IDEAL CLASICAS X50U</t>
  </si>
  <si>
    <t>TOALLITAS HUMEDAS IDEAL ALOE X50U</t>
  </si>
  <si>
    <t>PROTECTORES DONCELLA X20</t>
  </si>
  <si>
    <t>TOALLAS DONCELLA S/DES X8</t>
  </si>
  <si>
    <t>TOALLAS LADYSOFT X8</t>
  </si>
  <si>
    <t>GRANDBY MATIC POLVO LAVADO TOTAL x400GR</t>
  </si>
  <si>
    <t>CIF DETERGENTE 300ML LIMON</t>
  </si>
  <si>
    <t>CIF DETERGENTE 300ML LIMA</t>
  </si>
  <si>
    <t>NAIPES CANDELA X50</t>
  </si>
  <si>
    <t>BICARBONATO "YUSPE"</t>
  </si>
  <si>
    <t>BORSA X200</t>
  </si>
  <si>
    <t>BORSA ANIS X200</t>
  </si>
  <si>
    <t>BORSA CAFE AL COGNAC X200CC</t>
  </si>
  <si>
    <t>BORSA CHOCOLATE X200</t>
  </si>
  <si>
    <t>BORSA DULCE DE LECHE X200CC</t>
  </si>
  <si>
    <t>BORSA PIÑA COLADA X200CC</t>
  </si>
  <si>
    <t>BORSA RON X200CC</t>
  </si>
  <si>
    <t>BORSA TEQUILA X200CC</t>
  </si>
  <si>
    <t>BORSA VODKA X200CC</t>
  </si>
  <si>
    <t>BORSA WHISKY X200</t>
  </si>
  <si>
    <t>ADHESIVO INSTANTANEO LIQUIDO 2GR</t>
  </si>
  <si>
    <t>ADHESIVO INSTANTANEO GEL PLUS 3GR</t>
  </si>
  <si>
    <t>LAMPARA 10W MULTILED FRIA</t>
  </si>
  <si>
    <t>LAMPARA 10W MULTILED CALIDA</t>
  </si>
  <si>
    <t>LAMPARA 20W MULTILED FRIA</t>
  </si>
  <si>
    <t>LAMPARA 35W MULTILED FRIA</t>
  </si>
  <si>
    <t>HISOPOS QSOFT X75U</t>
  </si>
  <si>
    <t>PALILLERO DESAFIO 12X50</t>
  </si>
  <si>
    <t>PILAS DURACEL AA X12</t>
  </si>
  <si>
    <t>PILAS DURACEL AAA X12</t>
  </si>
  <si>
    <t>PILAS CANDELA AA X10</t>
  </si>
  <si>
    <t>PILAS CANDELA AAAX10</t>
  </si>
  <si>
    <t>ENCENDEDOR ALINTA X 25 U</t>
  </si>
  <si>
    <t>ENCENDEDOR CANDELA X 25U</t>
  </si>
  <si>
    <t>ENCENDEDOR MINI CANDELA X10U</t>
  </si>
  <si>
    <t>ENCENDEDOR MAXI CANDELA X10U</t>
  </si>
  <si>
    <t>GLOBOS 9" LISO SURTIDOS X50</t>
  </si>
  <si>
    <t>GLOBOS 9" FELIZ CUMPLEAÑOS X50</t>
  </si>
  <si>
    <t>GLOBOS 9" FELIZ CUMPLEAÑOS X15</t>
  </si>
  <si>
    <t>BOLSA CAMISETA 30X40</t>
  </si>
  <si>
    <t>BOLSA CAMISETA 40X50</t>
  </si>
  <si>
    <t>ROLLO ARRANQUE RENDIDOR 15X20</t>
  </si>
  <si>
    <t>ROLLO ARRANQUE RENDIDOR 15X25</t>
  </si>
  <si>
    <t>ROLLO ARRANQUE RENDIDOR 20X30</t>
  </si>
  <si>
    <t>ROLLO ARRANQUE RENDIDOR 25X35</t>
  </si>
  <si>
    <t>ROLLO ARRANQUE RENDIDOR 30X40</t>
  </si>
  <si>
    <t>VINO TIZZOT MALBEC SUAVE 6X1125ML</t>
  </si>
  <si>
    <t>VINO TONELITO BORGEÑA 6X1125ML</t>
  </si>
  <si>
    <t>VINO AFFINITY MALBEC BONARDA X8</t>
  </si>
  <si>
    <t>Denominacion</t>
  </si>
  <si>
    <t>Código</t>
  </si>
  <si>
    <t>Rubro</t>
  </si>
  <si>
    <t>Precio por bulto</t>
  </si>
  <si>
    <t>Unidades por bulto</t>
  </si>
  <si>
    <t>Divisible</t>
  </si>
  <si>
    <t>Unidad de medida</t>
  </si>
  <si>
    <t>Medida por bulto</t>
  </si>
  <si>
    <t>Medida por unidad</t>
  </si>
  <si>
    <t>N1311</t>
  </si>
  <si>
    <t>A-MERCADERIA</t>
  </si>
  <si>
    <t>SI</t>
  </si>
  <si>
    <t>Gramos</t>
  </si>
  <si>
    <t>Unitario</t>
  </si>
  <si>
    <t>NO</t>
  </si>
  <si>
    <t xml:space="preserve">A-MERCADERIA </t>
  </si>
  <si>
    <t>B-ADEREZOS</t>
  </si>
  <si>
    <t>B-ENLATADOS</t>
  </si>
  <si>
    <t>C-JUGOS</t>
  </si>
  <si>
    <t>Litros</t>
  </si>
  <si>
    <t>D-AGUAS</t>
  </si>
  <si>
    <t>E-COPETIN</t>
  </si>
  <si>
    <t>F-ALFAJORES</t>
  </si>
  <si>
    <t>G-GALLETAS</t>
  </si>
  <si>
    <t>H-GOLOSINA</t>
  </si>
  <si>
    <t>I-JUGOS</t>
  </si>
  <si>
    <t>J-LIMPIEZA</t>
  </si>
  <si>
    <t>K-OTROS</t>
  </si>
  <si>
    <t>L-ENCENDEDORES</t>
  </si>
  <si>
    <t>M-DESCARTABLE</t>
  </si>
  <si>
    <t>N-VINOS</t>
  </si>
  <si>
    <t xml:space="preserve"> </t>
  </si>
  <si>
    <t>Imagen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</si>
</sst>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.00"/>
  </numFmts>
  <fonts count="10">
    <font>
      <sz val="11"/>
      <color theme="1"/>
      <name val="Aptos Narrow"/>
      <family val="2"/>
      <scheme val="minor"/>
    </font>
    <font>
      <sz val="8"/>
      <color theme="1"/>
      <name val="Arial"/>
    </font>
    <font>
      <sz val="8"/>
      <color theme="1"/>
      <name val="Liberation Serif"/>
    </font>
    <font>
      <sz val="8"/>
      <color rgb="FF000000"/>
      <name val="Roboto"/>
    </font>
    <font>
      <sz val="11"/>
      <color rgb="FF000000"/>
      <name val="Calibri"/>
    </font>
    <font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ECCE"/>
        <bgColor rgb="FFF5ECCE"/>
      </patternFill>
    </fill>
    <fill>
      <patternFill patternType="solid">
        <fgColor rgb="FF77AACC"/>
        <bgColor rgb="FF77AA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1"/>
    <xf numFmtId="0" fontId="7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/>
    </xf>
    <xf numFmtId="1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4" fontId="5" fillId="2" borderId="0" xfId="0" applyNumberFormat="1" applyFont="1" applyFill="1"/>
    <xf numFmtId="0" fontId="5" fillId="2" borderId="0" xfId="0" applyFont="1" applyFill="1" applyAlignment="1">
      <alignment horizontal="center"/>
    </xf>
    <xf numFmtId="0" fontId="9" fillId="0" borderId="0" xfId="1" applyFont="1"/>
  </cellXfs>
  <cellStyles count="2">
    <cellStyle name="Hipervínculo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an\Downloads\base_temp.xlsx" TargetMode="External"/><Relationship Id="rId1" Type="http://schemas.openxmlformats.org/officeDocument/2006/relationships/externalLinkPath" Target="base_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ACTUAL"/>
      <sheetName val="Hoja 21"/>
      <sheetName val="impresos"/>
      <sheetName val="backup 22-05 (sin alfajores)"/>
      <sheetName val="catalogo"/>
      <sheetName val="back"/>
      <sheetName val="1"/>
      <sheetName val="actualizado"/>
      <sheetName val="LISTA BACKUP"/>
      <sheetName val="Copia de list_artic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Código</v>
          </cell>
          <cell r="B1" t="str">
            <v>CONTADO</v>
          </cell>
        </row>
        <row r="2">
          <cell r="A2">
            <v>443</v>
          </cell>
          <cell r="B2">
            <v>2290</v>
          </cell>
        </row>
        <row r="3">
          <cell r="A3" t="str">
            <v>N113</v>
          </cell>
          <cell r="B3">
            <v>2400</v>
          </cell>
        </row>
        <row r="4">
          <cell r="A4" t="str">
            <v>N1311</v>
          </cell>
          <cell r="B4">
            <v>2370</v>
          </cell>
        </row>
        <row r="5">
          <cell r="A5">
            <v>106</v>
          </cell>
          <cell r="B5">
            <v>5098.5</v>
          </cell>
        </row>
        <row r="6">
          <cell r="A6" t="str">
            <v>N5807</v>
          </cell>
          <cell r="B6">
            <v>5098.5</v>
          </cell>
        </row>
        <row r="7">
          <cell r="A7">
            <v>10116</v>
          </cell>
          <cell r="B7">
            <v>2770</v>
          </cell>
        </row>
        <row r="8">
          <cell r="A8">
            <v>1824</v>
          </cell>
          <cell r="B8">
            <v>2770</v>
          </cell>
        </row>
        <row r="9">
          <cell r="A9" t="str">
            <v>N118</v>
          </cell>
          <cell r="B9">
            <v>10</v>
          </cell>
        </row>
        <row r="10">
          <cell r="A10" t="str">
            <v>N1365</v>
          </cell>
          <cell r="B10">
            <v>2220</v>
          </cell>
        </row>
        <row r="11">
          <cell r="A11">
            <v>1244</v>
          </cell>
          <cell r="B11">
            <v>3520.44</v>
          </cell>
        </row>
        <row r="12">
          <cell r="A12">
            <v>1243</v>
          </cell>
          <cell r="B12">
            <v>1668</v>
          </cell>
        </row>
        <row r="13">
          <cell r="A13">
            <v>636</v>
          </cell>
          <cell r="B13">
            <v>1210</v>
          </cell>
        </row>
        <row r="14">
          <cell r="A14">
            <v>10121</v>
          </cell>
          <cell r="B14">
            <v>1210</v>
          </cell>
        </row>
        <row r="15">
          <cell r="A15">
            <v>12751</v>
          </cell>
          <cell r="B15">
            <v>1210</v>
          </cell>
        </row>
        <row r="16">
          <cell r="A16">
            <v>635</v>
          </cell>
          <cell r="B16">
            <v>1210</v>
          </cell>
        </row>
        <row r="17">
          <cell r="A17">
            <v>1064</v>
          </cell>
        </row>
        <row r="18">
          <cell r="A18" t="str">
            <v>N146</v>
          </cell>
          <cell r="B18">
            <v>7198.01</v>
          </cell>
        </row>
        <row r="19">
          <cell r="A19">
            <v>1062</v>
          </cell>
          <cell r="B19">
            <v>7198.01</v>
          </cell>
        </row>
        <row r="20">
          <cell r="A20">
            <v>1063</v>
          </cell>
          <cell r="B20">
            <v>7198.01</v>
          </cell>
        </row>
        <row r="21">
          <cell r="A21">
            <v>340</v>
          </cell>
          <cell r="B21">
            <v>10850</v>
          </cell>
        </row>
        <row r="22">
          <cell r="A22">
            <v>339</v>
          </cell>
          <cell r="B22">
            <v>10850</v>
          </cell>
        </row>
        <row r="23">
          <cell r="A23">
            <v>346</v>
          </cell>
          <cell r="B23">
            <v>10850</v>
          </cell>
        </row>
        <row r="24">
          <cell r="A24">
            <v>337</v>
          </cell>
          <cell r="B24">
            <v>10850</v>
          </cell>
        </row>
        <row r="25">
          <cell r="A25">
            <v>336</v>
          </cell>
          <cell r="B25">
            <v>10850</v>
          </cell>
        </row>
        <row r="26">
          <cell r="A26">
            <v>10064</v>
          </cell>
          <cell r="B26">
            <v>9826.7999999999993</v>
          </cell>
        </row>
        <row r="27">
          <cell r="A27">
            <v>458</v>
          </cell>
          <cell r="B27">
            <v>9826.7999999999993</v>
          </cell>
        </row>
        <row r="28">
          <cell r="A28">
            <v>1404</v>
          </cell>
          <cell r="B28">
            <v>555</v>
          </cell>
        </row>
        <row r="29">
          <cell r="A29" t="str">
            <v>ALF15</v>
          </cell>
          <cell r="B29">
            <v>8330</v>
          </cell>
        </row>
        <row r="30">
          <cell r="A30" t="str">
            <v>ALF16</v>
          </cell>
          <cell r="B30">
            <v>8330</v>
          </cell>
        </row>
        <row r="31">
          <cell r="A31" t="str">
            <v>N143</v>
          </cell>
          <cell r="B31">
            <v>9009.82</v>
          </cell>
        </row>
        <row r="32">
          <cell r="A32" t="str">
            <v>N145</v>
          </cell>
          <cell r="B32">
            <v>9009.82</v>
          </cell>
        </row>
        <row r="33">
          <cell r="A33">
            <v>404</v>
          </cell>
          <cell r="B33">
            <v>8050</v>
          </cell>
        </row>
        <row r="34">
          <cell r="A34">
            <v>320</v>
          </cell>
          <cell r="B34">
            <v>8050</v>
          </cell>
        </row>
        <row r="35">
          <cell r="A35" t="str">
            <v>ALF4</v>
          </cell>
          <cell r="B35">
            <v>9610</v>
          </cell>
        </row>
        <row r="36">
          <cell r="A36" t="str">
            <v>ALF3</v>
          </cell>
          <cell r="B36">
            <v>9610</v>
          </cell>
        </row>
        <row r="37">
          <cell r="A37">
            <v>176</v>
          </cell>
          <cell r="B37">
            <v>3460</v>
          </cell>
        </row>
        <row r="38">
          <cell r="A38">
            <v>168</v>
          </cell>
          <cell r="B38">
            <v>3460</v>
          </cell>
        </row>
        <row r="39">
          <cell r="A39">
            <v>170</v>
          </cell>
          <cell r="B39">
            <v>3020</v>
          </cell>
        </row>
        <row r="40">
          <cell r="A40">
            <v>171</v>
          </cell>
          <cell r="B40">
            <v>3460</v>
          </cell>
        </row>
        <row r="41">
          <cell r="A41">
            <v>169</v>
          </cell>
          <cell r="B41">
            <v>3460</v>
          </cell>
        </row>
        <row r="42">
          <cell r="A42">
            <v>174</v>
          </cell>
          <cell r="B42">
            <v>3460</v>
          </cell>
        </row>
        <row r="43">
          <cell r="A43">
            <v>175</v>
          </cell>
          <cell r="B43">
            <v>3020</v>
          </cell>
        </row>
        <row r="44">
          <cell r="A44">
            <v>172</v>
          </cell>
          <cell r="B44">
            <v>3460</v>
          </cell>
        </row>
        <row r="45">
          <cell r="A45">
            <v>158</v>
          </cell>
          <cell r="B45">
            <v>3020</v>
          </cell>
        </row>
        <row r="46">
          <cell r="A46" t="str">
            <v>N158</v>
          </cell>
          <cell r="B46">
            <v>4580</v>
          </cell>
        </row>
        <row r="47">
          <cell r="A47">
            <v>565</v>
          </cell>
          <cell r="B47">
            <v>4200</v>
          </cell>
        </row>
        <row r="48">
          <cell r="A48">
            <v>1157</v>
          </cell>
          <cell r="B48">
            <v>3240</v>
          </cell>
        </row>
        <row r="49">
          <cell r="A49">
            <v>126545641</v>
          </cell>
          <cell r="B49">
            <v>3200</v>
          </cell>
        </row>
        <row r="50">
          <cell r="A50" t="str">
            <v>N173</v>
          </cell>
          <cell r="B50">
            <v>5360</v>
          </cell>
        </row>
        <row r="51">
          <cell r="A51" t="str">
            <v>N2526</v>
          </cell>
          <cell r="B51">
            <v>10460</v>
          </cell>
        </row>
        <row r="52">
          <cell r="A52">
            <v>177</v>
          </cell>
          <cell r="B52">
            <v>38500</v>
          </cell>
        </row>
        <row r="53">
          <cell r="A53">
            <v>429</v>
          </cell>
          <cell r="B53">
            <v>73800</v>
          </cell>
        </row>
        <row r="54">
          <cell r="A54" t="str">
            <v>187--</v>
          </cell>
          <cell r="B54">
            <v>37500</v>
          </cell>
        </row>
        <row r="55">
          <cell r="A55">
            <v>186</v>
          </cell>
          <cell r="B55">
            <v>19950</v>
          </cell>
        </row>
        <row r="56">
          <cell r="A56">
            <v>51612</v>
          </cell>
          <cell r="B56">
            <v>19950</v>
          </cell>
        </row>
        <row r="57">
          <cell r="A57">
            <v>185</v>
          </cell>
          <cell r="B57">
            <v>6753.6</v>
          </cell>
        </row>
        <row r="58">
          <cell r="A58" t="str">
            <v>N179</v>
          </cell>
          <cell r="B58">
            <v>570</v>
          </cell>
        </row>
        <row r="59">
          <cell r="A59" t="str">
            <v>N2561</v>
          </cell>
          <cell r="B59">
            <v>1090</v>
          </cell>
        </row>
        <row r="60">
          <cell r="A60" t="str">
            <v>N180</v>
          </cell>
          <cell r="B60">
            <v>1090</v>
          </cell>
        </row>
        <row r="61">
          <cell r="A61">
            <v>155</v>
          </cell>
          <cell r="B61">
            <v>9400</v>
          </cell>
        </row>
        <row r="62">
          <cell r="A62" t="str">
            <v>N1275</v>
          </cell>
          <cell r="B62">
            <v>56800</v>
          </cell>
        </row>
        <row r="63">
          <cell r="A63">
            <v>1158</v>
          </cell>
          <cell r="B63">
            <v>29250</v>
          </cell>
        </row>
        <row r="64">
          <cell r="A64" t="str">
            <v>N141</v>
          </cell>
          <cell r="B64">
            <v>1490</v>
          </cell>
        </row>
        <row r="65">
          <cell r="A65">
            <v>266262727</v>
          </cell>
          <cell r="B65">
            <v>6630.62</v>
          </cell>
        </row>
        <row r="66">
          <cell r="A66" t="str">
            <v>N8001</v>
          </cell>
          <cell r="B66">
            <v>6630.62</v>
          </cell>
        </row>
        <row r="67">
          <cell r="A67">
            <v>451</v>
          </cell>
          <cell r="B67">
            <v>5937.64</v>
          </cell>
        </row>
        <row r="68">
          <cell r="A68">
            <v>672</v>
          </cell>
          <cell r="B68">
            <v>5937.64</v>
          </cell>
        </row>
        <row r="69">
          <cell r="A69">
            <v>453</v>
          </cell>
          <cell r="B69">
            <v>5937.64</v>
          </cell>
        </row>
        <row r="70">
          <cell r="A70">
            <v>8585516241</v>
          </cell>
          <cell r="B70">
            <v>3690</v>
          </cell>
        </row>
        <row r="71">
          <cell r="A71" t="str">
            <v>N825</v>
          </cell>
          <cell r="B71">
            <v>200</v>
          </cell>
        </row>
        <row r="72">
          <cell r="A72">
            <v>236</v>
          </cell>
          <cell r="B72">
            <v>1660</v>
          </cell>
        </row>
        <row r="73">
          <cell r="A73" t="str">
            <v>N824</v>
          </cell>
          <cell r="B73">
            <v>5040</v>
          </cell>
        </row>
        <row r="74">
          <cell r="A74">
            <v>1818</v>
          </cell>
          <cell r="B74">
            <v>3970</v>
          </cell>
        </row>
        <row r="75">
          <cell r="A75">
            <v>1817</v>
          </cell>
          <cell r="B75">
            <v>3970</v>
          </cell>
        </row>
        <row r="76">
          <cell r="A76" t="str">
            <v>N144</v>
          </cell>
          <cell r="B76">
            <v>3452.04</v>
          </cell>
        </row>
        <row r="77">
          <cell r="A77" t="str">
            <v>N1490</v>
          </cell>
          <cell r="B77">
            <v>3452.04</v>
          </cell>
        </row>
        <row r="78">
          <cell r="A78">
            <v>344</v>
          </cell>
          <cell r="B78">
            <v>11290</v>
          </cell>
        </row>
        <row r="79">
          <cell r="A79">
            <v>343</v>
          </cell>
          <cell r="B79">
            <v>11290</v>
          </cell>
        </row>
        <row r="80">
          <cell r="A80">
            <v>4141</v>
          </cell>
          <cell r="B80">
            <v>11290</v>
          </cell>
        </row>
        <row r="81">
          <cell r="A81">
            <v>348</v>
          </cell>
          <cell r="B81">
            <v>11290</v>
          </cell>
        </row>
        <row r="82">
          <cell r="A82">
            <v>345</v>
          </cell>
          <cell r="B82">
            <v>11290</v>
          </cell>
        </row>
        <row r="83">
          <cell r="A83">
            <v>271</v>
          </cell>
          <cell r="B83">
            <v>150</v>
          </cell>
        </row>
        <row r="84">
          <cell r="A84">
            <v>12754</v>
          </cell>
          <cell r="B84">
            <v>6240</v>
          </cell>
        </row>
        <row r="85">
          <cell r="A85" t="str">
            <v>N638</v>
          </cell>
          <cell r="B85">
            <v>6240</v>
          </cell>
        </row>
        <row r="86">
          <cell r="A86" t="str">
            <v>N639</v>
          </cell>
          <cell r="B86">
            <v>6240</v>
          </cell>
        </row>
        <row r="87">
          <cell r="A87" t="str">
            <v>N201</v>
          </cell>
          <cell r="B87">
            <v>2870</v>
          </cell>
        </row>
        <row r="88">
          <cell r="A88">
            <v>1551</v>
          </cell>
          <cell r="B88">
            <v>1146.5999999999999</v>
          </cell>
        </row>
        <row r="89">
          <cell r="A89">
            <v>1552</v>
          </cell>
          <cell r="B89">
            <v>1390</v>
          </cell>
        </row>
        <row r="90">
          <cell r="A90">
            <v>1919</v>
          </cell>
          <cell r="B90">
            <v>165.85</v>
          </cell>
        </row>
        <row r="91">
          <cell r="A91">
            <v>12760</v>
          </cell>
          <cell r="B91">
            <v>385.2</v>
          </cell>
        </row>
        <row r="92">
          <cell r="A92" t="str">
            <v>N703</v>
          </cell>
          <cell r="B92">
            <v>920.2</v>
          </cell>
        </row>
        <row r="93">
          <cell r="A93">
            <v>1920</v>
          </cell>
          <cell r="B93">
            <v>300.77999999999997</v>
          </cell>
        </row>
        <row r="94">
          <cell r="A94">
            <v>372</v>
          </cell>
          <cell r="B94">
            <v>4445</v>
          </cell>
        </row>
        <row r="95">
          <cell r="A95" t="str">
            <v>N984</v>
          </cell>
          <cell r="B95">
            <v>3660</v>
          </cell>
        </row>
        <row r="96">
          <cell r="A96" t="str">
            <v>N981</v>
          </cell>
          <cell r="B96">
            <v>5890</v>
          </cell>
        </row>
        <row r="97">
          <cell r="A97" t="str">
            <v>N982</v>
          </cell>
          <cell r="B97">
            <v>5890</v>
          </cell>
        </row>
        <row r="98">
          <cell r="A98">
            <v>12755</v>
          </cell>
          <cell r="B98">
            <v>5890</v>
          </cell>
        </row>
        <row r="99">
          <cell r="A99" t="str">
            <v>N983</v>
          </cell>
          <cell r="B99">
            <v>5890</v>
          </cell>
        </row>
        <row r="100">
          <cell r="A100">
            <v>462</v>
          </cell>
          <cell r="B100">
            <v>2460</v>
          </cell>
        </row>
        <row r="101">
          <cell r="A101" t="str">
            <v>G17</v>
          </cell>
          <cell r="B101">
            <v>2460</v>
          </cell>
        </row>
        <row r="102">
          <cell r="A102">
            <v>10001</v>
          </cell>
          <cell r="B102">
            <v>5523.26</v>
          </cell>
        </row>
        <row r="103">
          <cell r="A103">
            <v>1213</v>
          </cell>
          <cell r="B103">
            <v>250</v>
          </cell>
        </row>
        <row r="104">
          <cell r="A104">
            <v>450</v>
          </cell>
          <cell r="B104">
            <v>980</v>
          </cell>
        </row>
        <row r="105">
          <cell r="A105">
            <v>431</v>
          </cell>
          <cell r="B105">
            <v>980</v>
          </cell>
        </row>
        <row r="106">
          <cell r="A106">
            <v>470</v>
          </cell>
          <cell r="B106">
            <v>980</v>
          </cell>
        </row>
        <row r="107">
          <cell r="A107">
            <v>471</v>
          </cell>
          <cell r="B107">
            <v>980</v>
          </cell>
        </row>
        <row r="108">
          <cell r="A108">
            <v>492</v>
          </cell>
          <cell r="B108">
            <v>980</v>
          </cell>
        </row>
        <row r="109">
          <cell r="A109">
            <v>432</v>
          </cell>
          <cell r="B109">
            <v>980</v>
          </cell>
        </row>
        <row r="110">
          <cell r="A110">
            <v>437</v>
          </cell>
          <cell r="B110">
            <v>980</v>
          </cell>
        </row>
        <row r="111">
          <cell r="A111">
            <v>489</v>
          </cell>
          <cell r="B111">
            <v>980</v>
          </cell>
        </row>
        <row r="112">
          <cell r="A112">
            <v>442</v>
          </cell>
          <cell r="B112">
            <v>980</v>
          </cell>
        </row>
        <row r="113">
          <cell r="A113">
            <v>449</v>
          </cell>
          <cell r="B113">
            <v>980</v>
          </cell>
        </row>
        <row r="114">
          <cell r="A114">
            <v>472</v>
          </cell>
          <cell r="B114">
            <v>980</v>
          </cell>
        </row>
        <row r="115">
          <cell r="A115">
            <v>468</v>
          </cell>
          <cell r="B115">
            <v>980</v>
          </cell>
        </row>
        <row r="116">
          <cell r="A116">
            <v>505</v>
          </cell>
          <cell r="B116">
            <v>1034.9000000000001</v>
          </cell>
        </row>
        <row r="117">
          <cell r="A117" t="str">
            <v>N207</v>
          </cell>
          <cell r="B117">
            <v>1034.9000000000001</v>
          </cell>
        </row>
        <row r="118">
          <cell r="A118" t="str">
            <v>N1181</v>
          </cell>
          <cell r="B118">
            <v>1202</v>
          </cell>
        </row>
        <row r="119">
          <cell r="A119" t="str">
            <v>N209</v>
          </cell>
          <cell r="B119">
            <v>1060</v>
          </cell>
        </row>
        <row r="120">
          <cell r="A120" t="str">
            <v>N206</v>
          </cell>
          <cell r="B120">
            <v>1060</v>
          </cell>
        </row>
        <row r="121">
          <cell r="A121">
            <v>486</v>
          </cell>
          <cell r="B121">
            <v>1060</v>
          </cell>
        </row>
        <row r="122">
          <cell r="A122" t="str">
            <v>N5601</v>
          </cell>
          <cell r="B122">
            <v>1060</v>
          </cell>
        </row>
        <row r="123">
          <cell r="A123" t="str">
            <v>N1106</v>
          </cell>
          <cell r="B123">
            <v>1060</v>
          </cell>
        </row>
        <row r="124">
          <cell r="A124" t="str">
            <v>N208</v>
          </cell>
          <cell r="B124">
            <v>1060</v>
          </cell>
        </row>
        <row r="125">
          <cell r="A125" t="str">
            <v>N211</v>
          </cell>
          <cell r="B125">
            <v>3640</v>
          </cell>
        </row>
        <row r="126">
          <cell r="A126" t="str">
            <v>N5617</v>
          </cell>
          <cell r="B126">
            <v>3640</v>
          </cell>
        </row>
        <row r="127">
          <cell r="A127" t="str">
            <v>N213</v>
          </cell>
          <cell r="B127">
            <v>1780</v>
          </cell>
        </row>
        <row r="128">
          <cell r="A128" t="str">
            <v>N218</v>
          </cell>
          <cell r="B128">
            <v>4070</v>
          </cell>
        </row>
        <row r="129">
          <cell r="A129" t="str">
            <v>N219</v>
          </cell>
          <cell r="B129">
            <v>6240</v>
          </cell>
        </row>
        <row r="130">
          <cell r="A130">
            <v>1865</v>
          </cell>
          <cell r="B130">
            <v>5930</v>
          </cell>
        </row>
        <row r="131">
          <cell r="A131">
            <v>1548</v>
          </cell>
          <cell r="B131">
            <v>5930</v>
          </cell>
        </row>
        <row r="132">
          <cell r="A132" t="str">
            <v>N220</v>
          </cell>
          <cell r="B132">
            <v>4830</v>
          </cell>
        </row>
        <row r="133">
          <cell r="A133" t="str">
            <v>N225</v>
          </cell>
          <cell r="B133">
            <v>5050</v>
          </cell>
        </row>
        <row r="134">
          <cell r="A134" t="str">
            <v>N1201</v>
          </cell>
          <cell r="B134">
            <v>2830</v>
          </cell>
        </row>
        <row r="135">
          <cell r="A135">
            <v>12891</v>
          </cell>
          <cell r="B135">
            <v>5694.54</v>
          </cell>
        </row>
        <row r="136">
          <cell r="A136">
            <v>173</v>
          </cell>
          <cell r="B136">
            <v>3460</v>
          </cell>
        </row>
        <row r="137">
          <cell r="A137">
            <v>660</v>
          </cell>
          <cell r="B137">
            <v>2230</v>
          </cell>
        </row>
        <row r="138">
          <cell r="A138">
            <v>651</v>
          </cell>
          <cell r="B138">
            <v>2230</v>
          </cell>
        </row>
        <row r="139">
          <cell r="A139">
            <v>650</v>
          </cell>
          <cell r="B139">
            <v>2230</v>
          </cell>
        </row>
        <row r="140">
          <cell r="A140">
            <v>1862</v>
          </cell>
          <cell r="B140">
            <v>3220</v>
          </cell>
        </row>
        <row r="141">
          <cell r="A141">
            <v>1866</v>
          </cell>
          <cell r="B141">
            <v>2530</v>
          </cell>
        </row>
        <row r="142">
          <cell r="A142">
            <v>272772</v>
          </cell>
          <cell r="B142">
            <v>4190</v>
          </cell>
        </row>
        <row r="143">
          <cell r="A143">
            <v>401</v>
          </cell>
          <cell r="B143">
            <v>9670</v>
          </cell>
        </row>
        <row r="144">
          <cell r="A144">
            <v>321</v>
          </cell>
          <cell r="B144">
            <v>9670</v>
          </cell>
        </row>
        <row r="145">
          <cell r="A145">
            <v>349</v>
          </cell>
          <cell r="B145">
            <v>9670</v>
          </cell>
        </row>
        <row r="146">
          <cell r="A146">
            <v>400</v>
          </cell>
          <cell r="B146">
            <v>9670</v>
          </cell>
        </row>
        <row r="147">
          <cell r="A147">
            <v>402</v>
          </cell>
          <cell r="B147">
            <v>9670</v>
          </cell>
        </row>
        <row r="148">
          <cell r="A148" t="str">
            <v>N1185</v>
          </cell>
          <cell r="B148">
            <v>4538</v>
          </cell>
        </row>
        <row r="149">
          <cell r="A149">
            <v>121294</v>
          </cell>
          <cell r="B149">
            <v>5800</v>
          </cell>
        </row>
        <row r="150">
          <cell r="A150">
            <v>209</v>
          </cell>
          <cell r="B150">
            <v>4000</v>
          </cell>
        </row>
        <row r="151">
          <cell r="A151">
            <v>123123123</v>
          </cell>
          <cell r="B151">
            <v>12340</v>
          </cell>
        </row>
        <row r="152">
          <cell r="A152">
            <v>1231233</v>
          </cell>
          <cell r="B152">
            <v>12340</v>
          </cell>
        </row>
        <row r="153">
          <cell r="A153" t="str">
            <v>N12701</v>
          </cell>
          <cell r="B153">
            <v>2030</v>
          </cell>
        </row>
        <row r="154">
          <cell r="A154" t="str">
            <v>N5610</v>
          </cell>
          <cell r="B154">
            <v>1690</v>
          </cell>
        </row>
        <row r="155">
          <cell r="A155" t="str">
            <v>C64</v>
          </cell>
          <cell r="B155">
            <v>460</v>
          </cell>
        </row>
        <row r="156">
          <cell r="A156" t="str">
            <v>C33</v>
          </cell>
          <cell r="B156">
            <v>314.89999999999998</v>
          </cell>
        </row>
        <row r="157">
          <cell r="A157" t="str">
            <v>C32</v>
          </cell>
          <cell r="B157">
            <v>457</v>
          </cell>
        </row>
        <row r="158">
          <cell r="A158">
            <v>1465</v>
          </cell>
          <cell r="B158">
            <v>280</v>
          </cell>
        </row>
        <row r="159">
          <cell r="A159">
            <v>1466</v>
          </cell>
          <cell r="B159">
            <v>280</v>
          </cell>
        </row>
        <row r="160">
          <cell r="A160">
            <v>121292</v>
          </cell>
          <cell r="B160">
            <v>2470</v>
          </cell>
        </row>
        <row r="161">
          <cell r="A161">
            <v>121293</v>
          </cell>
          <cell r="B161">
            <v>2470</v>
          </cell>
        </row>
        <row r="162">
          <cell r="A162">
            <v>10111</v>
          </cell>
          <cell r="B162">
            <v>2470</v>
          </cell>
        </row>
        <row r="163">
          <cell r="A163">
            <v>390</v>
          </cell>
          <cell r="B163">
            <v>1800</v>
          </cell>
        </row>
        <row r="164">
          <cell r="A164">
            <v>350</v>
          </cell>
          <cell r="B164">
            <v>1800</v>
          </cell>
        </row>
        <row r="165">
          <cell r="A165">
            <v>351</v>
          </cell>
          <cell r="B165">
            <v>1800</v>
          </cell>
        </row>
        <row r="166">
          <cell r="A166" t="str">
            <v>G390</v>
          </cell>
          <cell r="B166">
            <v>1800</v>
          </cell>
        </row>
        <row r="167">
          <cell r="A167">
            <v>1635</v>
          </cell>
          <cell r="B167">
            <v>2880</v>
          </cell>
        </row>
        <row r="168">
          <cell r="A168">
            <v>216</v>
          </cell>
          <cell r="B168">
            <v>3470</v>
          </cell>
        </row>
        <row r="169">
          <cell r="A169">
            <v>221</v>
          </cell>
          <cell r="B169">
            <v>3470</v>
          </cell>
        </row>
        <row r="170">
          <cell r="A170" t="str">
            <v>N291</v>
          </cell>
          <cell r="B170">
            <v>1422.5</v>
          </cell>
        </row>
        <row r="171">
          <cell r="A171">
            <v>566</v>
          </cell>
          <cell r="B171">
            <v>9198</v>
          </cell>
        </row>
        <row r="172">
          <cell r="A172">
            <v>562</v>
          </cell>
          <cell r="B172">
            <v>13791.7</v>
          </cell>
        </row>
        <row r="173">
          <cell r="A173">
            <v>2504</v>
          </cell>
          <cell r="B173">
            <v>14841.99</v>
          </cell>
        </row>
        <row r="174">
          <cell r="A174">
            <v>662</v>
          </cell>
          <cell r="B174">
            <v>10105.07</v>
          </cell>
        </row>
        <row r="175">
          <cell r="A175">
            <v>10123</v>
          </cell>
          <cell r="B175">
            <v>2880</v>
          </cell>
        </row>
        <row r="176">
          <cell r="A176" t="str">
            <v>N245</v>
          </cell>
          <cell r="B176">
            <v>3810</v>
          </cell>
        </row>
        <row r="177">
          <cell r="A177" t="str">
            <v>N296</v>
          </cell>
          <cell r="B177">
            <v>2530</v>
          </cell>
        </row>
        <row r="178">
          <cell r="A178">
            <v>10122</v>
          </cell>
          <cell r="B178">
            <v>2331</v>
          </cell>
        </row>
        <row r="179">
          <cell r="A179">
            <v>15156</v>
          </cell>
          <cell r="B179">
            <v>750</v>
          </cell>
        </row>
        <row r="180">
          <cell r="A180" t="str">
            <v>N295</v>
          </cell>
          <cell r="B180">
            <v>287.88</v>
          </cell>
        </row>
        <row r="181">
          <cell r="A181" t="str">
            <v>G13</v>
          </cell>
          <cell r="B181">
            <v>6750</v>
          </cell>
        </row>
        <row r="182">
          <cell r="A182">
            <v>491</v>
          </cell>
          <cell r="B182">
            <v>930</v>
          </cell>
        </row>
        <row r="183">
          <cell r="A183" t="str">
            <v>N1190</v>
          </cell>
          <cell r="B183">
            <v>3240</v>
          </cell>
        </row>
        <row r="184">
          <cell r="A184" t="str">
            <v>G3</v>
          </cell>
          <cell r="B184">
            <v>3240</v>
          </cell>
        </row>
        <row r="185">
          <cell r="A185" t="str">
            <v>G100</v>
          </cell>
          <cell r="B185">
            <v>8960</v>
          </cell>
        </row>
        <row r="186">
          <cell r="A186">
            <v>10042</v>
          </cell>
          <cell r="B186">
            <v>8960</v>
          </cell>
        </row>
        <row r="187">
          <cell r="A187" t="str">
            <v>G32</v>
          </cell>
          <cell r="B187">
            <v>8960</v>
          </cell>
        </row>
        <row r="188">
          <cell r="A188" t="str">
            <v>G35</v>
          </cell>
          <cell r="B188">
            <v>8960</v>
          </cell>
        </row>
        <row r="189">
          <cell r="A189">
            <v>17937</v>
          </cell>
          <cell r="B189">
            <v>5034.29</v>
          </cell>
        </row>
        <row r="190">
          <cell r="A190">
            <v>15691</v>
          </cell>
          <cell r="B190">
            <v>4880</v>
          </cell>
        </row>
        <row r="191">
          <cell r="A191">
            <v>358</v>
          </cell>
          <cell r="B191">
            <v>4880</v>
          </cell>
        </row>
        <row r="192">
          <cell r="A192">
            <v>121392</v>
          </cell>
          <cell r="B192">
            <v>4880</v>
          </cell>
        </row>
        <row r="193">
          <cell r="A193">
            <v>368</v>
          </cell>
          <cell r="B193">
            <v>4880</v>
          </cell>
        </row>
        <row r="194">
          <cell r="A194" t="str">
            <v>N302</v>
          </cell>
          <cell r="B194">
            <v>4880</v>
          </cell>
        </row>
        <row r="195">
          <cell r="A195">
            <v>4001</v>
          </cell>
          <cell r="B195">
            <v>1460</v>
          </cell>
        </row>
        <row r="196">
          <cell r="A196">
            <v>392</v>
          </cell>
          <cell r="B196">
            <v>1620</v>
          </cell>
        </row>
        <row r="197">
          <cell r="A197">
            <v>360</v>
          </cell>
          <cell r="B197">
            <v>5410</v>
          </cell>
        </row>
        <row r="198">
          <cell r="A198">
            <v>355</v>
          </cell>
          <cell r="B198">
            <v>5410</v>
          </cell>
        </row>
        <row r="199">
          <cell r="A199">
            <v>353</v>
          </cell>
          <cell r="B199">
            <v>5410</v>
          </cell>
        </row>
        <row r="200">
          <cell r="A200">
            <v>395</v>
          </cell>
          <cell r="B200">
            <v>5410</v>
          </cell>
        </row>
        <row r="201">
          <cell r="A201" t="str">
            <v>N303</v>
          </cell>
          <cell r="B201">
            <v>15</v>
          </cell>
        </row>
        <row r="202">
          <cell r="A202">
            <v>121394</v>
          </cell>
        </row>
        <row r="203">
          <cell r="A203">
            <v>184657</v>
          </cell>
          <cell r="B203">
            <v>4680</v>
          </cell>
        </row>
        <row r="204">
          <cell r="A204" t="str">
            <v>N5928</v>
          </cell>
          <cell r="B204">
            <v>2000</v>
          </cell>
        </row>
        <row r="205">
          <cell r="A205">
            <v>1821</v>
          </cell>
          <cell r="B205">
            <v>1520</v>
          </cell>
        </row>
        <row r="206">
          <cell r="A206">
            <v>1820</v>
          </cell>
          <cell r="B206">
            <v>1520</v>
          </cell>
        </row>
        <row r="207">
          <cell r="A207">
            <v>19990</v>
          </cell>
          <cell r="B207">
            <v>15226</v>
          </cell>
        </row>
        <row r="208">
          <cell r="A208">
            <v>215</v>
          </cell>
          <cell r="B208">
            <v>5750</v>
          </cell>
        </row>
        <row r="209">
          <cell r="A209">
            <v>54545454</v>
          </cell>
          <cell r="B209">
            <v>3200</v>
          </cell>
        </row>
        <row r="210">
          <cell r="A210">
            <v>194</v>
          </cell>
          <cell r="B210">
            <v>250</v>
          </cell>
        </row>
        <row r="211">
          <cell r="A211" t="str">
            <v>N629</v>
          </cell>
          <cell r="B211">
            <v>3992</v>
          </cell>
        </row>
        <row r="212">
          <cell r="A212" t="str">
            <v>N630</v>
          </cell>
          <cell r="B212">
            <v>3992</v>
          </cell>
        </row>
        <row r="213">
          <cell r="A213" t="str">
            <v>N434</v>
          </cell>
          <cell r="B213">
            <v>3370</v>
          </cell>
        </row>
        <row r="214">
          <cell r="A214" t="str">
            <v>N433</v>
          </cell>
          <cell r="B214">
            <v>3370</v>
          </cell>
        </row>
        <row r="215">
          <cell r="A215" t="str">
            <v>N637</v>
          </cell>
          <cell r="B215">
            <v>3370</v>
          </cell>
        </row>
        <row r="216">
          <cell r="A216" t="str">
            <v>N440</v>
          </cell>
          <cell r="B216">
            <v>3370</v>
          </cell>
        </row>
        <row r="217">
          <cell r="A217" t="str">
            <v>G157</v>
          </cell>
          <cell r="B217">
            <v>3370</v>
          </cell>
        </row>
        <row r="218">
          <cell r="A218">
            <v>1212</v>
          </cell>
          <cell r="B218">
            <v>3370</v>
          </cell>
        </row>
        <row r="219">
          <cell r="A219" t="str">
            <v>G20</v>
          </cell>
          <cell r="B219">
            <v>12473.37</v>
          </cell>
        </row>
        <row r="220">
          <cell r="A220">
            <v>1626266</v>
          </cell>
          <cell r="B220">
            <v>2330</v>
          </cell>
        </row>
        <row r="221">
          <cell r="A221">
            <v>222334</v>
          </cell>
          <cell r="B221">
            <v>2330</v>
          </cell>
        </row>
        <row r="222">
          <cell r="A222">
            <v>25255262</v>
          </cell>
          <cell r="B222">
            <v>2330</v>
          </cell>
        </row>
        <row r="223">
          <cell r="A223">
            <v>1626262</v>
          </cell>
          <cell r="B223">
            <v>2330</v>
          </cell>
        </row>
        <row r="224">
          <cell r="A224">
            <v>226263</v>
          </cell>
          <cell r="B224">
            <v>2330</v>
          </cell>
        </row>
        <row r="225">
          <cell r="A225">
            <v>16262662</v>
          </cell>
          <cell r="B225">
            <v>2330</v>
          </cell>
        </row>
        <row r="226">
          <cell r="A226">
            <v>1525252</v>
          </cell>
          <cell r="B226">
            <v>2330</v>
          </cell>
        </row>
        <row r="227">
          <cell r="A227">
            <v>25526262</v>
          </cell>
          <cell r="B227">
            <v>2330</v>
          </cell>
        </row>
        <row r="228">
          <cell r="A228">
            <v>121390</v>
          </cell>
        </row>
        <row r="229">
          <cell r="A229">
            <v>9898</v>
          </cell>
          <cell r="B229">
            <v>1450</v>
          </cell>
        </row>
        <row r="230">
          <cell r="A230">
            <v>456456</v>
          </cell>
          <cell r="B230">
            <v>1450</v>
          </cell>
        </row>
        <row r="231">
          <cell r="A231">
            <v>2525626</v>
          </cell>
          <cell r="B231">
            <v>300</v>
          </cell>
        </row>
        <row r="232">
          <cell r="A232">
            <v>14563</v>
          </cell>
          <cell r="B232">
            <v>1065</v>
          </cell>
        </row>
        <row r="233">
          <cell r="A233" t="str">
            <v>N355</v>
          </cell>
          <cell r="B233">
            <v>1420</v>
          </cell>
        </row>
        <row r="234">
          <cell r="A234">
            <v>20302</v>
          </cell>
          <cell r="B234">
            <v>1065</v>
          </cell>
        </row>
        <row r="235">
          <cell r="A235" t="str">
            <v>N356</v>
          </cell>
          <cell r="B235">
            <v>1420</v>
          </cell>
        </row>
        <row r="236">
          <cell r="A236" t="str">
            <v>L37</v>
          </cell>
        </row>
        <row r="237">
          <cell r="A237" t="str">
            <v>C30</v>
          </cell>
          <cell r="B237">
            <v>420</v>
          </cell>
        </row>
        <row r="238">
          <cell r="A238" t="str">
            <v>C17</v>
          </cell>
          <cell r="B238">
            <v>460</v>
          </cell>
        </row>
        <row r="239">
          <cell r="A239" t="str">
            <v>C31</v>
          </cell>
          <cell r="B239">
            <v>800</v>
          </cell>
        </row>
        <row r="240">
          <cell r="A240">
            <v>1469</v>
          </cell>
          <cell r="B240">
            <v>3600</v>
          </cell>
        </row>
        <row r="241">
          <cell r="A241">
            <v>18803</v>
          </cell>
          <cell r="B241">
            <v>24200</v>
          </cell>
        </row>
        <row r="242">
          <cell r="A242" t="str">
            <v>N384</v>
          </cell>
          <cell r="B242">
            <v>14616</v>
          </cell>
        </row>
        <row r="243">
          <cell r="A243" t="str">
            <v>N383</v>
          </cell>
          <cell r="B243">
            <v>6609.41</v>
          </cell>
        </row>
        <row r="244">
          <cell r="A244" t="str">
            <v>N382</v>
          </cell>
          <cell r="B244">
            <v>7420</v>
          </cell>
        </row>
        <row r="245">
          <cell r="A245">
            <v>1001</v>
          </cell>
          <cell r="B245">
            <v>5375</v>
          </cell>
        </row>
        <row r="246">
          <cell r="A246">
            <v>230</v>
          </cell>
          <cell r="B246">
            <v>5400</v>
          </cell>
        </row>
        <row r="247">
          <cell r="A247" t="str">
            <v>N387</v>
          </cell>
          <cell r="B247">
            <v>5140</v>
          </cell>
        </row>
        <row r="248">
          <cell r="A248" t="str">
            <v>N386</v>
          </cell>
          <cell r="B248">
            <v>4670</v>
          </cell>
        </row>
        <row r="249">
          <cell r="A249">
            <v>1588</v>
          </cell>
          <cell r="B249">
            <v>720</v>
          </cell>
        </row>
        <row r="250">
          <cell r="A250">
            <v>234</v>
          </cell>
          <cell r="B250">
            <v>199.9</v>
          </cell>
        </row>
        <row r="251">
          <cell r="A251" t="str">
            <v>N390</v>
          </cell>
          <cell r="B251">
            <v>1830</v>
          </cell>
        </row>
        <row r="252">
          <cell r="A252" t="str">
            <v>N398</v>
          </cell>
          <cell r="B252">
            <v>882</v>
          </cell>
        </row>
        <row r="253">
          <cell r="A253" t="str">
            <v>N100</v>
          </cell>
          <cell r="B253">
            <v>970</v>
          </cell>
        </row>
        <row r="254">
          <cell r="A254" t="str">
            <v>N397</v>
          </cell>
          <cell r="B254">
            <v>770</v>
          </cell>
        </row>
        <row r="255">
          <cell r="A255" t="str">
            <v>N1340</v>
          </cell>
          <cell r="B255">
            <v>740</v>
          </cell>
        </row>
        <row r="256">
          <cell r="A256">
            <v>160</v>
          </cell>
          <cell r="B256">
            <v>1001.41</v>
          </cell>
        </row>
        <row r="257">
          <cell r="A257">
            <v>183</v>
          </cell>
          <cell r="B257">
            <v>740</v>
          </cell>
        </row>
        <row r="258">
          <cell r="A258">
            <v>164</v>
          </cell>
          <cell r="B258">
            <v>740</v>
          </cell>
        </row>
        <row r="259">
          <cell r="A259">
            <v>187</v>
          </cell>
          <cell r="B259">
            <v>740.12</v>
          </cell>
        </row>
        <row r="260">
          <cell r="A260">
            <v>166</v>
          </cell>
          <cell r="B260">
            <v>740</v>
          </cell>
        </row>
        <row r="261">
          <cell r="A261">
            <v>159</v>
          </cell>
          <cell r="B261">
            <v>1001.41</v>
          </cell>
        </row>
        <row r="262">
          <cell r="A262">
            <v>163</v>
          </cell>
          <cell r="B262">
            <v>740</v>
          </cell>
        </row>
        <row r="263">
          <cell r="A263">
            <v>1218</v>
          </cell>
          <cell r="B263">
            <v>740</v>
          </cell>
        </row>
        <row r="264">
          <cell r="A264" t="str">
            <v>N415</v>
          </cell>
          <cell r="B264">
            <v>1001.41</v>
          </cell>
        </row>
        <row r="265">
          <cell r="A265">
            <v>180</v>
          </cell>
          <cell r="B265">
            <v>740</v>
          </cell>
        </row>
        <row r="266">
          <cell r="A266">
            <v>184</v>
          </cell>
          <cell r="B266">
            <v>740</v>
          </cell>
        </row>
        <row r="267">
          <cell r="A267">
            <v>162</v>
          </cell>
          <cell r="B267">
            <v>740</v>
          </cell>
        </row>
        <row r="268">
          <cell r="A268">
            <v>167</v>
          </cell>
          <cell r="B268">
            <v>740</v>
          </cell>
        </row>
        <row r="269">
          <cell r="A269">
            <v>153</v>
          </cell>
          <cell r="B269">
            <v>740</v>
          </cell>
        </row>
        <row r="270">
          <cell r="A270">
            <v>165</v>
          </cell>
          <cell r="B270">
            <v>740</v>
          </cell>
        </row>
        <row r="271">
          <cell r="A271" t="str">
            <v>N428</v>
          </cell>
          <cell r="B271">
            <v>1350</v>
          </cell>
        </row>
        <row r="272">
          <cell r="A272">
            <v>1</v>
          </cell>
          <cell r="B272">
            <v>1440</v>
          </cell>
        </row>
        <row r="273">
          <cell r="A273" t="str">
            <v>G19</v>
          </cell>
          <cell r="B273">
            <v>960</v>
          </cell>
        </row>
        <row r="274">
          <cell r="A274" t="str">
            <v>N451</v>
          </cell>
          <cell r="B274">
            <v>380</v>
          </cell>
        </row>
        <row r="275">
          <cell r="A275" t="str">
            <v>N5833</v>
          </cell>
          <cell r="B275">
            <v>380</v>
          </cell>
        </row>
        <row r="276">
          <cell r="A276">
            <v>13333</v>
          </cell>
          <cell r="B276">
            <v>502.5</v>
          </cell>
        </row>
        <row r="277">
          <cell r="A277" t="str">
            <v>N5603</v>
          </cell>
          <cell r="B277">
            <v>380</v>
          </cell>
        </row>
        <row r="278">
          <cell r="A278" t="str">
            <v>G156</v>
          </cell>
          <cell r="B278">
            <v>812.5</v>
          </cell>
        </row>
        <row r="279">
          <cell r="A279">
            <v>1811</v>
          </cell>
          <cell r="B279">
            <v>925</v>
          </cell>
        </row>
        <row r="280">
          <cell r="A280">
            <v>1810</v>
          </cell>
          <cell r="B280">
            <v>925</v>
          </cell>
        </row>
        <row r="281">
          <cell r="A281">
            <v>15160</v>
          </cell>
          <cell r="B281">
            <v>275</v>
          </cell>
        </row>
        <row r="282">
          <cell r="A282">
            <v>1518</v>
          </cell>
          <cell r="B282">
            <v>1550</v>
          </cell>
        </row>
        <row r="283">
          <cell r="A283">
            <v>15733</v>
          </cell>
          <cell r="B283">
            <v>470</v>
          </cell>
        </row>
        <row r="284">
          <cell r="A284">
            <v>13300</v>
          </cell>
          <cell r="B284">
            <v>470</v>
          </cell>
        </row>
        <row r="285">
          <cell r="A285">
            <v>13301</v>
          </cell>
          <cell r="B285">
            <v>470</v>
          </cell>
        </row>
        <row r="286">
          <cell r="A286">
            <v>510</v>
          </cell>
          <cell r="B286">
            <v>1170</v>
          </cell>
        </row>
        <row r="287">
          <cell r="A287" t="str">
            <v>N435</v>
          </cell>
          <cell r="B287">
            <v>390</v>
          </cell>
        </row>
        <row r="288">
          <cell r="A288" t="str">
            <v>N5892</v>
          </cell>
          <cell r="B288">
            <v>357</v>
          </cell>
        </row>
        <row r="289">
          <cell r="A289">
            <v>13303</v>
          </cell>
          <cell r="B289">
            <v>499.9</v>
          </cell>
        </row>
        <row r="290">
          <cell r="A290" t="str">
            <v>N453</v>
          </cell>
          <cell r="B290">
            <v>630</v>
          </cell>
        </row>
        <row r="291">
          <cell r="A291">
            <v>188</v>
          </cell>
          <cell r="B291">
            <v>1020</v>
          </cell>
        </row>
        <row r="292">
          <cell r="A292" t="str">
            <v>N459</v>
          </cell>
          <cell r="B292">
            <v>780</v>
          </cell>
        </row>
        <row r="293">
          <cell r="A293" t="str">
            <v>N448</v>
          </cell>
          <cell r="B293">
            <v>890</v>
          </cell>
        </row>
        <row r="294">
          <cell r="A294" t="str">
            <v>N449</v>
          </cell>
          <cell r="B294">
            <v>890</v>
          </cell>
        </row>
        <row r="295">
          <cell r="A295" t="str">
            <v>N458</v>
          </cell>
          <cell r="B295">
            <v>480</v>
          </cell>
        </row>
        <row r="296">
          <cell r="A296" t="str">
            <v>N457</v>
          </cell>
          <cell r="B296">
            <v>480</v>
          </cell>
        </row>
        <row r="297">
          <cell r="A297" t="str">
            <v>N445</v>
          </cell>
          <cell r="B297">
            <v>530</v>
          </cell>
        </row>
        <row r="298">
          <cell r="A298" t="str">
            <v>N442</v>
          </cell>
          <cell r="B298">
            <v>850</v>
          </cell>
        </row>
        <row r="299">
          <cell r="A299">
            <v>219</v>
          </cell>
          <cell r="B299">
            <v>2120</v>
          </cell>
        </row>
        <row r="300">
          <cell r="A300" t="str">
            <v>N456</v>
          </cell>
          <cell r="B300">
            <v>890</v>
          </cell>
        </row>
        <row r="301">
          <cell r="A301" t="str">
            <v>G7</v>
          </cell>
          <cell r="B301">
            <v>1140</v>
          </cell>
        </row>
        <row r="302">
          <cell r="A302" t="str">
            <v>N446</v>
          </cell>
          <cell r="B302">
            <v>395</v>
          </cell>
        </row>
        <row r="303">
          <cell r="A303" t="str">
            <v>N628</v>
          </cell>
          <cell r="B303">
            <v>280</v>
          </cell>
        </row>
        <row r="304">
          <cell r="A304">
            <v>162626</v>
          </cell>
          <cell r="B304">
            <v>270</v>
          </cell>
        </row>
        <row r="305">
          <cell r="A305">
            <v>2626262</v>
          </cell>
          <cell r="B305">
            <v>270</v>
          </cell>
        </row>
        <row r="306">
          <cell r="A306">
            <v>262626</v>
          </cell>
          <cell r="B306">
            <v>270</v>
          </cell>
        </row>
        <row r="307">
          <cell r="A307">
            <v>2922</v>
          </cell>
          <cell r="B307">
            <v>270</v>
          </cell>
        </row>
        <row r="308">
          <cell r="A308">
            <v>2189</v>
          </cell>
          <cell r="B308">
            <v>270</v>
          </cell>
        </row>
        <row r="309">
          <cell r="A309">
            <v>1241</v>
          </cell>
          <cell r="B309">
            <v>2890</v>
          </cell>
        </row>
        <row r="310">
          <cell r="A310">
            <v>1240</v>
          </cell>
          <cell r="B310">
            <v>2080</v>
          </cell>
        </row>
        <row r="311">
          <cell r="A311">
            <v>1242</v>
          </cell>
          <cell r="B311">
            <v>10590</v>
          </cell>
        </row>
        <row r="312">
          <cell r="A312">
            <v>1412</v>
          </cell>
          <cell r="B312">
            <v>9375</v>
          </cell>
        </row>
        <row r="313">
          <cell r="A313">
            <v>1413</v>
          </cell>
          <cell r="B313">
            <v>9375</v>
          </cell>
        </row>
        <row r="314">
          <cell r="A314">
            <v>157255</v>
          </cell>
          <cell r="B314">
            <v>4570</v>
          </cell>
        </row>
        <row r="315">
          <cell r="A315">
            <v>331</v>
          </cell>
          <cell r="B315">
            <v>4570</v>
          </cell>
        </row>
        <row r="316">
          <cell r="A316">
            <v>347</v>
          </cell>
          <cell r="B316">
            <v>4570</v>
          </cell>
        </row>
        <row r="317">
          <cell r="A317">
            <v>332</v>
          </cell>
          <cell r="B317">
            <v>4299</v>
          </cell>
        </row>
        <row r="318">
          <cell r="A318">
            <v>334</v>
          </cell>
          <cell r="B318">
            <v>4299.8999999999996</v>
          </cell>
        </row>
        <row r="319">
          <cell r="A319">
            <v>333</v>
          </cell>
          <cell r="B319">
            <v>4570</v>
          </cell>
        </row>
        <row r="320">
          <cell r="A320">
            <v>640</v>
          </cell>
          <cell r="B320">
            <v>4571</v>
          </cell>
        </row>
        <row r="321">
          <cell r="A321" t="str">
            <v>GOL1</v>
          </cell>
          <cell r="B321">
            <v>4460</v>
          </cell>
        </row>
        <row r="322">
          <cell r="A322">
            <v>1853</v>
          </cell>
          <cell r="B322">
            <v>4460</v>
          </cell>
        </row>
        <row r="323">
          <cell r="A323">
            <v>1467</v>
          </cell>
          <cell r="B323">
            <v>4460</v>
          </cell>
        </row>
        <row r="324">
          <cell r="A324">
            <v>14356</v>
          </cell>
          <cell r="B324">
            <v>4460</v>
          </cell>
        </row>
        <row r="325">
          <cell r="A325">
            <v>121291</v>
          </cell>
          <cell r="B325">
            <v>4460</v>
          </cell>
        </row>
        <row r="326">
          <cell r="A326">
            <v>1842</v>
          </cell>
          <cell r="B326">
            <v>4460</v>
          </cell>
        </row>
        <row r="327">
          <cell r="A327">
            <v>1841</v>
          </cell>
          <cell r="B327">
            <v>4460</v>
          </cell>
        </row>
        <row r="328">
          <cell r="A328">
            <v>95042</v>
          </cell>
          <cell r="B328">
            <v>4460</v>
          </cell>
        </row>
        <row r="329">
          <cell r="A329" t="str">
            <v>N473</v>
          </cell>
          <cell r="B329">
            <v>1600</v>
          </cell>
        </row>
        <row r="330">
          <cell r="A330" t="str">
            <v>N474</v>
          </cell>
          <cell r="B330">
            <v>1600</v>
          </cell>
        </row>
        <row r="331">
          <cell r="A331" t="str">
            <v>N479</v>
          </cell>
          <cell r="B331">
            <v>1440</v>
          </cell>
        </row>
        <row r="332">
          <cell r="A332" t="str">
            <v>L9</v>
          </cell>
          <cell r="B332">
            <v>1100</v>
          </cell>
        </row>
        <row r="333">
          <cell r="A333">
            <v>638</v>
          </cell>
          <cell r="B333">
            <v>640</v>
          </cell>
        </row>
        <row r="334">
          <cell r="A334" t="str">
            <v>N1142</v>
          </cell>
          <cell r="B334">
            <v>640</v>
          </cell>
        </row>
        <row r="335">
          <cell r="A335">
            <v>1560</v>
          </cell>
          <cell r="B335">
            <v>107</v>
          </cell>
        </row>
        <row r="336">
          <cell r="A336">
            <v>1233</v>
          </cell>
          <cell r="B336">
            <v>4580</v>
          </cell>
        </row>
        <row r="337">
          <cell r="A337">
            <v>12</v>
          </cell>
          <cell r="B337">
            <v>4580</v>
          </cell>
        </row>
        <row r="338">
          <cell r="A338">
            <v>1232</v>
          </cell>
          <cell r="B338">
            <v>8206</v>
          </cell>
        </row>
        <row r="339">
          <cell r="A339" t="str">
            <v>N1238</v>
          </cell>
          <cell r="B339">
            <v>680</v>
          </cell>
        </row>
        <row r="340">
          <cell r="A340">
            <v>428</v>
          </cell>
          <cell r="B340">
            <v>720</v>
          </cell>
        </row>
        <row r="341">
          <cell r="A341">
            <v>445</v>
          </cell>
          <cell r="B341">
            <v>720</v>
          </cell>
        </row>
        <row r="342">
          <cell r="A342">
            <v>438</v>
          </cell>
          <cell r="B342">
            <v>720</v>
          </cell>
        </row>
        <row r="343">
          <cell r="A343">
            <v>441</v>
          </cell>
          <cell r="B343">
            <v>720</v>
          </cell>
        </row>
        <row r="344">
          <cell r="A344">
            <v>439</v>
          </cell>
          <cell r="B344">
            <v>720</v>
          </cell>
        </row>
        <row r="345">
          <cell r="A345">
            <v>444</v>
          </cell>
          <cell r="B345">
            <v>720</v>
          </cell>
        </row>
        <row r="346">
          <cell r="A346">
            <v>440</v>
          </cell>
          <cell r="B346">
            <v>720</v>
          </cell>
        </row>
        <row r="347">
          <cell r="A347">
            <v>195</v>
          </cell>
          <cell r="B347">
            <v>7000</v>
          </cell>
        </row>
        <row r="348">
          <cell r="A348">
            <v>196</v>
          </cell>
          <cell r="B348">
            <v>9520</v>
          </cell>
        </row>
        <row r="349">
          <cell r="A349">
            <v>182</v>
          </cell>
          <cell r="B349">
            <v>10820</v>
          </cell>
        </row>
        <row r="350">
          <cell r="A350" t="str">
            <v>197B</v>
          </cell>
          <cell r="B350">
            <v>9530</v>
          </cell>
        </row>
        <row r="351">
          <cell r="A351">
            <v>12300</v>
          </cell>
          <cell r="B351">
            <v>1482</v>
          </cell>
        </row>
        <row r="352">
          <cell r="A352">
            <v>10058</v>
          </cell>
          <cell r="B352">
            <v>21000</v>
          </cell>
        </row>
        <row r="353">
          <cell r="A353" t="str">
            <v>PIRO5</v>
          </cell>
          <cell r="B353">
            <v>21000</v>
          </cell>
        </row>
        <row r="354">
          <cell r="A354">
            <v>10061</v>
          </cell>
          <cell r="B354">
            <v>21000</v>
          </cell>
        </row>
        <row r="355">
          <cell r="A355">
            <v>12301</v>
          </cell>
          <cell r="B355">
            <v>21000</v>
          </cell>
        </row>
        <row r="356">
          <cell r="A356">
            <v>10057</v>
          </cell>
          <cell r="B356">
            <v>21000</v>
          </cell>
        </row>
        <row r="357">
          <cell r="A357" t="str">
            <v>N844</v>
          </cell>
          <cell r="B357">
            <v>3240</v>
          </cell>
        </row>
        <row r="358">
          <cell r="A358" t="str">
            <v>N1309</v>
          </cell>
          <cell r="B358">
            <v>3812</v>
          </cell>
        </row>
        <row r="359">
          <cell r="A359" t="str">
            <v>N846</v>
          </cell>
          <cell r="B359">
            <v>2499</v>
          </cell>
        </row>
        <row r="360">
          <cell r="A360">
            <v>1930</v>
          </cell>
          <cell r="B360">
            <v>3116.5</v>
          </cell>
        </row>
        <row r="361">
          <cell r="A361">
            <v>16700</v>
          </cell>
          <cell r="B361">
            <v>4830</v>
          </cell>
        </row>
        <row r="362">
          <cell r="A362" t="str">
            <v>L5</v>
          </cell>
          <cell r="B362">
            <v>220</v>
          </cell>
        </row>
        <row r="363">
          <cell r="A363" t="str">
            <v>L4</v>
          </cell>
          <cell r="B363">
            <v>220</v>
          </cell>
        </row>
        <row r="364">
          <cell r="A364" t="str">
            <v>L1</v>
          </cell>
          <cell r="B364">
            <v>670</v>
          </cell>
        </row>
        <row r="365">
          <cell r="A365" t="str">
            <v>N510</v>
          </cell>
          <cell r="B365">
            <v>4830</v>
          </cell>
        </row>
        <row r="366">
          <cell r="A366" t="str">
            <v>N1141</v>
          </cell>
          <cell r="B366">
            <v>1568</v>
          </cell>
        </row>
        <row r="367">
          <cell r="A367" t="str">
            <v>N509</v>
          </cell>
          <cell r="B367">
            <v>1568</v>
          </cell>
        </row>
        <row r="368">
          <cell r="A368" t="str">
            <v>N1313</v>
          </cell>
          <cell r="B368">
            <v>1545</v>
          </cell>
        </row>
        <row r="369">
          <cell r="A369" t="str">
            <v>N2125</v>
          </cell>
          <cell r="B369">
            <v>1020</v>
          </cell>
        </row>
        <row r="370">
          <cell r="A370" t="str">
            <v>N2123</v>
          </cell>
          <cell r="B370">
            <v>1020</v>
          </cell>
        </row>
        <row r="371">
          <cell r="A371">
            <v>121391</v>
          </cell>
          <cell r="B371">
            <v>1020</v>
          </cell>
        </row>
        <row r="372">
          <cell r="A372" t="str">
            <v>N2124</v>
          </cell>
          <cell r="B372">
            <v>1020</v>
          </cell>
        </row>
        <row r="373">
          <cell r="A373" t="str">
            <v>N12425</v>
          </cell>
          <cell r="B373">
            <v>1050</v>
          </cell>
        </row>
        <row r="374">
          <cell r="A374">
            <v>1897</v>
          </cell>
          <cell r="B374">
            <v>1050</v>
          </cell>
        </row>
        <row r="375">
          <cell r="A375">
            <v>5479</v>
          </cell>
          <cell r="B375">
            <v>1050</v>
          </cell>
        </row>
        <row r="376">
          <cell r="A376">
            <v>454654</v>
          </cell>
          <cell r="B376">
            <v>1050</v>
          </cell>
        </row>
        <row r="377">
          <cell r="A377">
            <v>5681</v>
          </cell>
          <cell r="B377">
            <v>1050</v>
          </cell>
        </row>
        <row r="378">
          <cell r="A378" t="str">
            <v>N12436</v>
          </cell>
          <cell r="B378">
            <v>1050</v>
          </cell>
        </row>
        <row r="379">
          <cell r="A379" t="str">
            <v>N520</v>
          </cell>
          <cell r="B379">
            <v>950</v>
          </cell>
        </row>
        <row r="380">
          <cell r="A380">
            <v>1585</v>
          </cell>
          <cell r="B380">
            <v>28640</v>
          </cell>
        </row>
        <row r="381">
          <cell r="A381">
            <v>560</v>
          </cell>
          <cell r="B381">
            <v>12493.8</v>
          </cell>
        </row>
        <row r="382">
          <cell r="A382">
            <v>326</v>
          </cell>
          <cell r="B382">
            <v>5414.73</v>
          </cell>
        </row>
        <row r="383">
          <cell r="A383">
            <v>324</v>
          </cell>
          <cell r="B383">
            <v>8296.39</v>
          </cell>
        </row>
        <row r="384">
          <cell r="A384">
            <v>1812</v>
          </cell>
          <cell r="B384">
            <v>6800.37</v>
          </cell>
        </row>
        <row r="385">
          <cell r="A385">
            <v>1814</v>
          </cell>
          <cell r="B385">
            <v>6800.37</v>
          </cell>
        </row>
        <row r="386">
          <cell r="A386">
            <v>1813</v>
          </cell>
          <cell r="B386">
            <v>6800.37</v>
          </cell>
        </row>
        <row r="387">
          <cell r="A387">
            <v>559</v>
          </cell>
          <cell r="B387">
            <v>12493.8</v>
          </cell>
        </row>
        <row r="388">
          <cell r="A388">
            <v>382</v>
          </cell>
          <cell r="B388">
            <v>5414.73</v>
          </cell>
        </row>
        <row r="389">
          <cell r="A389">
            <v>325</v>
          </cell>
          <cell r="B389">
            <v>8296.39</v>
          </cell>
        </row>
        <row r="390">
          <cell r="A390">
            <v>561</v>
          </cell>
          <cell r="B390">
            <v>11776.6</v>
          </cell>
        </row>
        <row r="391">
          <cell r="A391">
            <v>381</v>
          </cell>
          <cell r="B391">
            <v>5414.73</v>
          </cell>
        </row>
        <row r="392">
          <cell r="A392">
            <v>645</v>
          </cell>
          <cell r="B392">
            <v>12493.8</v>
          </cell>
        </row>
        <row r="393">
          <cell r="A393">
            <v>323</v>
          </cell>
          <cell r="B393">
            <v>8296.39</v>
          </cell>
        </row>
        <row r="394">
          <cell r="A394" t="str">
            <v>N187</v>
          </cell>
          <cell r="B394">
            <v>8296.24</v>
          </cell>
        </row>
        <row r="395">
          <cell r="A395">
            <v>558</v>
          </cell>
          <cell r="B395">
            <v>12493.8</v>
          </cell>
        </row>
        <row r="396">
          <cell r="A396">
            <v>15158</v>
          </cell>
          <cell r="B396">
            <v>11110</v>
          </cell>
        </row>
        <row r="397">
          <cell r="A397">
            <v>1316</v>
          </cell>
          <cell r="B397">
            <v>7377.5</v>
          </cell>
        </row>
        <row r="398">
          <cell r="A398">
            <v>327</v>
          </cell>
          <cell r="B398">
            <v>5414.73</v>
          </cell>
        </row>
        <row r="399">
          <cell r="A399">
            <v>322</v>
          </cell>
          <cell r="B399">
            <v>8296.39</v>
          </cell>
        </row>
        <row r="400">
          <cell r="A400">
            <v>1318</v>
          </cell>
          <cell r="B400">
            <v>11776.6</v>
          </cell>
        </row>
        <row r="401">
          <cell r="A401">
            <v>12757</v>
          </cell>
          <cell r="B401">
            <v>8296.24</v>
          </cell>
        </row>
        <row r="402">
          <cell r="A402" t="str">
            <v>G101</v>
          </cell>
          <cell r="B402">
            <v>3250</v>
          </cell>
        </row>
        <row r="403">
          <cell r="A403">
            <v>16262</v>
          </cell>
          <cell r="B403">
            <v>5500</v>
          </cell>
        </row>
        <row r="404">
          <cell r="A404">
            <v>162526</v>
          </cell>
          <cell r="B404">
            <v>5500</v>
          </cell>
        </row>
        <row r="405">
          <cell r="A405">
            <v>26262</v>
          </cell>
          <cell r="B405">
            <v>5500</v>
          </cell>
        </row>
        <row r="406">
          <cell r="A406">
            <v>262636</v>
          </cell>
          <cell r="B406">
            <v>5500</v>
          </cell>
        </row>
        <row r="407">
          <cell r="A407">
            <v>408</v>
          </cell>
          <cell r="B407">
            <v>4440</v>
          </cell>
        </row>
        <row r="408">
          <cell r="A408">
            <v>418</v>
          </cell>
          <cell r="B408">
            <v>4440</v>
          </cell>
        </row>
        <row r="409">
          <cell r="A409">
            <v>412</v>
          </cell>
          <cell r="B409">
            <v>4440</v>
          </cell>
        </row>
        <row r="410">
          <cell r="A410">
            <v>409</v>
          </cell>
          <cell r="B410">
            <v>4440</v>
          </cell>
        </row>
        <row r="411">
          <cell r="A411">
            <v>417</v>
          </cell>
          <cell r="B411">
            <v>4440</v>
          </cell>
        </row>
        <row r="412">
          <cell r="A412">
            <v>540</v>
          </cell>
          <cell r="B412">
            <v>4440</v>
          </cell>
        </row>
        <row r="413">
          <cell r="A413">
            <v>419</v>
          </cell>
          <cell r="B413">
            <v>4440</v>
          </cell>
        </row>
        <row r="414">
          <cell r="A414">
            <v>420</v>
          </cell>
          <cell r="B414">
            <v>4440</v>
          </cell>
        </row>
        <row r="415">
          <cell r="A415">
            <v>422</v>
          </cell>
          <cell r="B415">
            <v>4440</v>
          </cell>
        </row>
        <row r="416">
          <cell r="A416">
            <v>416</v>
          </cell>
          <cell r="B416">
            <v>4440</v>
          </cell>
        </row>
        <row r="417">
          <cell r="A417">
            <v>407</v>
          </cell>
          <cell r="B417">
            <v>4440</v>
          </cell>
        </row>
        <row r="418">
          <cell r="A418">
            <v>423</v>
          </cell>
          <cell r="B418">
            <v>4440</v>
          </cell>
        </row>
        <row r="419">
          <cell r="A419">
            <v>410</v>
          </cell>
          <cell r="B419">
            <v>4440</v>
          </cell>
        </row>
        <row r="420">
          <cell r="A420" t="str">
            <v>N554</v>
          </cell>
          <cell r="B420">
            <v>4440</v>
          </cell>
        </row>
        <row r="421">
          <cell r="A421" t="str">
            <v>N5352</v>
          </cell>
          <cell r="B421">
            <v>950</v>
          </cell>
        </row>
        <row r="422">
          <cell r="A422" t="str">
            <v>N101</v>
          </cell>
          <cell r="B422">
            <v>710</v>
          </cell>
        </row>
        <row r="423">
          <cell r="A423" t="str">
            <v>N1510</v>
          </cell>
          <cell r="B423">
            <v>710</v>
          </cell>
        </row>
        <row r="424">
          <cell r="A424" t="str">
            <v>N925</v>
          </cell>
          <cell r="B424">
            <v>1750</v>
          </cell>
        </row>
        <row r="425">
          <cell r="A425" t="str">
            <v>N926</v>
          </cell>
          <cell r="B425">
            <v>2688</v>
          </cell>
        </row>
        <row r="426">
          <cell r="A426" t="str">
            <v>N115</v>
          </cell>
          <cell r="B426">
            <v>1460</v>
          </cell>
        </row>
        <row r="427">
          <cell r="A427">
            <v>13</v>
          </cell>
          <cell r="B427">
            <v>1663.2</v>
          </cell>
        </row>
        <row r="428">
          <cell r="A428">
            <v>1823</v>
          </cell>
          <cell r="B428">
            <v>741</v>
          </cell>
        </row>
        <row r="429">
          <cell r="A429" t="str">
            <v>N601</v>
          </cell>
          <cell r="B429">
            <v>3490</v>
          </cell>
        </row>
        <row r="430">
          <cell r="A430" t="str">
            <v>N1070</v>
          </cell>
          <cell r="B430">
            <v>12550</v>
          </cell>
        </row>
        <row r="431">
          <cell r="A431" t="str">
            <v>N1329</v>
          </cell>
          <cell r="B431">
            <v>12550</v>
          </cell>
        </row>
        <row r="432">
          <cell r="A432" t="str">
            <v>N612</v>
          </cell>
          <cell r="B432">
            <v>11400</v>
          </cell>
        </row>
        <row r="433">
          <cell r="A433" t="str">
            <v>N617</v>
          </cell>
          <cell r="B433">
            <v>3090</v>
          </cell>
        </row>
        <row r="434">
          <cell r="A434">
            <v>20308</v>
          </cell>
          <cell r="B434">
            <v>860</v>
          </cell>
        </row>
        <row r="435">
          <cell r="A435">
            <v>20304</v>
          </cell>
          <cell r="B435">
            <v>860</v>
          </cell>
        </row>
        <row r="436">
          <cell r="A436">
            <v>20305</v>
          </cell>
          <cell r="B436">
            <v>860</v>
          </cell>
        </row>
        <row r="437">
          <cell r="A437">
            <v>20306</v>
          </cell>
          <cell r="B437">
            <v>860</v>
          </cell>
        </row>
        <row r="438">
          <cell r="A438">
            <v>20307</v>
          </cell>
          <cell r="B438">
            <v>860</v>
          </cell>
        </row>
        <row r="439">
          <cell r="A439">
            <v>20303</v>
          </cell>
          <cell r="B439">
            <v>860</v>
          </cell>
        </row>
        <row r="440">
          <cell r="A440" t="str">
            <v>N626</v>
          </cell>
          <cell r="B440">
            <v>2084</v>
          </cell>
        </row>
        <row r="441">
          <cell r="A441" t="str">
            <v>N461</v>
          </cell>
          <cell r="B441">
            <v>1411.25</v>
          </cell>
        </row>
        <row r="442">
          <cell r="A442">
            <v>1845</v>
          </cell>
          <cell r="B442">
            <v>1481.2</v>
          </cell>
        </row>
        <row r="443">
          <cell r="A443">
            <v>1846</v>
          </cell>
          <cell r="B443">
            <v>1481.2</v>
          </cell>
        </row>
        <row r="444">
          <cell r="A444">
            <v>1847</v>
          </cell>
          <cell r="B444">
            <v>1481.2</v>
          </cell>
        </row>
        <row r="445">
          <cell r="A445">
            <v>1848</v>
          </cell>
          <cell r="B445">
            <v>1481.2</v>
          </cell>
        </row>
        <row r="446">
          <cell r="A446">
            <v>1844</v>
          </cell>
          <cell r="B446">
            <v>1481.2</v>
          </cell>
        </row>
        <row r="447">
          <cell r="A447">
            <v>1852</v>
          </cell>
          <cell r="B447">
            <v>1481.2</v>
          </cell>
        </row>
        <row r="448">
          <cell r="A448">
            <v>1843</v>
          </cell>
          <cell r="B448">
            <v>1481.2</v>
          </cell>
        </row>
        <row r="449">
          <cell r="A449" t="str">
            <v>N460</v>
          </cell>
          <cell r="B449">
            <v>1625</v>
          </cell>
        </row>
        <row r="450">
          <cell r="A450" t="str">
            <v>N462</v>
          </cell>
          <cell r="B450">
            <v>1411.25</v>
          </cell>
        </row>
        <row r="451">
          <cell r="A451" t="str">
            <v>N463</v>
          </cell>
          <cell r="B451">
            <v>1625</v>
          </cell>
        </row>
        <row r="452">
          <cell r="A452" t="str">
            <v>N149</v>
          </cell>
          <cell r="B452">
            <v>360</v>
          </cell>
        </row>
        <row r="453">
          <cell r="A453" t="str">
            <v>N148</v>
          </cell>
          <cell r="B453">
            <v>360</v>
          </cell>
        </row>
        <row r="454">
          <cell r="A454">
            <v>546</v>
          </cell>
          <cell r="B454">
            <v>320</v>
          </cell>
        </row>
        <row r="455">
          <cell r="A455">
            <v>121296</v>
          </cell>
          <cell r="B455">
            <v>1820</v>
          </cell>
        </row>
        <row r="456">
          <cell r="A456">
            <v>202</v>
          </cell>
          <cell r="B456">
            <v>5040</v>
          </cell>
        </row>
        <row r="457">
          <cell r="A457">
            <v>225</v>
          </cell>
          <cell r="B457">
            <v>5040</v>
          </cell>
        </row>
        <row r="458">
          <cell r="A458">
            <v>201</v>
          </cell>
          <cell r="B458">
            <v>5040</v>
          </cell>
        </row>
        <row r="459">
          <cell r="A459">
            <v>200</v>
          </cell>
          <cell r="B459">
            <v>5040</v>
          </cell>
        </row>
        <row r="460">
          <cell r="A460">
            <v>224</v>
          </cell>
          <cell r="B460">
            <v>3750</v>
          </cell>
        </row>
        <row r="461">
          <cell r="A461">
            <v>18421</v>
          </cell>
          <cell r="B461">
            <v>4800</v>
          </cell>
        </row>
        <row r="462">
          <cell r="A462">
            <v>538</v>
          </cell>
          <cell r="B462">
            <v>7560</v>
          </cell>
        </row>
        <row r="463">
          <cell r="A463">
            <v>378</v>
          </cell>
          <cell r="B463">
            <v>3825</v>
          </cell>
        </row>
        <row r="464">
          <cell r="A464">
            <v>379</v>
          </cell>
          <cell r="B464">
            <v>3825</v>
          </cell>
        </row>
        <row r="465">
          <cell r="A465">
            <v>385</v>
          </cell>
          <cell r="B465">
            <v>5700</v>
          </cell>
        </row>
        <row r="466">
          <cell r="A466" t="str">
            <v>N665</v>
          </cell>
          <cell r="B466">
            <v>3320</v>
          </cell>
        </row>
        <row r="467">
          <cell r="A467">
            <v>16390</v>
          </cell>
          <cell r="B467">
            <v>3055</v>
          </cell>
        </row>
        <row r="468">
          <cell r="A468">
            <v>1636</v>
          </cell>
          <cell r="B468">
            <v>3055</v>
          </cell>
        </row>
        <row r="469">
          <cell r="A469">
            <v>2626222</v>
          </cell>
          <cell r="B469">
            <v>280</v>
          </cell>
        </row>
        <row r="470">
          <cell r="A470">
            <v>507</v>
          </cell>
          <cell r="B470">
            <v>3730</v>
          </cell>
        </row>
        <row r="471">
          <cell r="A471">
            <v>388</v>
          </cell>
          <cell r="B471">
            <v>3730</v>
          </cell>
        </row>
        <row r="472">
          <cell r="A472">
            <v>330</v>
          </cell>
          <cell r="B472">
            <v>3730</v>
          </cell>
        </row>
        <row r="473">
          <cell r="A473">
            <v>352</v>
          </cell>
          <cell r="B473">
            <v>3730</v>
          </cell>
        </row>
        <row r="474">
          <cell r="A474">
            <v>376</v>
          </cell>
          <cell r="B474">
            <v>3730</v>
          </cell>
        </row>
        <row r="475">
          <cell r="A475" t="str">
            <v>N1100</v>
          </cell>
          <cell r="B475">
            <v>10000</v>
          </cell>
        </row>
        <row r="476">
          <cell r="A476" t="str">
            <v>N684</v>
          </cell>
          <cell r="B476">
            <v>10000</v>
          </cell>
        </row>
        <row r="477">
          <cell r="A477" t="str">
            <v>N685</v>
          </cell>
          <cell r="B477">
            <v>10000</v>
          </cell>
        </row>
        <row r="478">
          <cell r="A478">
            <v>6901</v>
          </cell>
          <cell r="B478">
            <v>760</v>
          </cell>
        </row>
        <row r="479">
          <cell r="A479">
            <v>1863</v>
          </cell>
          <cell r="B479">
            <v>2680</v>
          </cell>
        </row>
        <row r="480">
          <cell r="A480">
            <v>121399</v>
          </cell>
          <cell r="B480">
            <v>4200</v>
          </cell>
        </row>
        <row r="481">
          <cell r="A481">
            <v>126382</v>
          </cell>
          <cell r="B481">
            <v>1540</v>
          </cell>
        </row>
        <row r="482">
          <cell r="A482">
            <v>1245</v>
          </cell>
          <cell r="B482">
            <v>780</v>
          </cell>
        </row>
        <row r="483">
          <cell r="A483" t="str">
            <v>N635</v>
          </cell>
          <cell r="B483">
            <v>6950</v>
          </cell>
        </row>
        <row r="484">
          <cell r="A484" t="str">
            <v>N634</v>
          </cell>
          <cell r="B484">
            <v>6950</v>
          </cell>
        </row>
        <row r="485">
          <cell r="A485" t="str">
            <v>N636</v>
          </cell>
          <cell r="B485">
            <v>5560</v>
          </cell>
        </row>
        <row r="486">
          <cell r="A486" t="str">
            <v>C24</v>
          </cell>
          <cell r="B486">
            <v>12473.37</v>
          </cell>
        </row>
        <row r="487">
          <cell r="A487" t="str">
            <v>N438</v>
          </cell>
          <cell r="B487">
            <v>1000</v>
          </cell>
        </row>
        <row r="488">
          <cell r="A488" t="str">
            <v>N1363</v>
          </cell>
          <cell r="B488">
            <v>360</v>
          </cell>
        </row>
        <row r="489">
          <cell r="A489" t="str">
            <v>N1366</v>
          </cell>
          <cell r="B489">
            <v>360</v>
          </cell>
        </row>
        <row r="490">
          <cell r="A490">
            <v>4003</v>
          </cell>
          <cell r="B490">
            <v>3465</v>
          </cell>
        </row>
        <row r="491">
          <cell r="A491" t="str">
            <v>N1367</v>
          </cell>
          <cell r="B491">
            <v>360</v>
          </cell>
        </row>
        <row r="492">
          <cell r="A492">
            <v>1002</v>
          </cell>
          <cell r="B492">
            <v>269.89999999999998</v>
          </cell>
        </row>
        <row r="493">
          <cell r="A493">
            <v>1003</v>
          </cell>
          <cell r="B493">
            <v>269.89999999999998</v>
          </cell>
        </row>
        <row r="494">
          <cell r="A494">
            <v>1004</v>
          </cell>
          <cell r="B494">
            <v>269.89999999999998</v>
          </cell>
        </row>
        <row r="495">
          <cell r="A495">
            <v>1005</v>
          </cell>
          <cell r="B495">
            <v>269.89999999999998</v>
          </cell>
        </row>
        <row r="496">
          <cell r="A496" t="str">
            <v>PIRO4</v>
          </cell>
          <cell r="B496">
            <v>53992.800000000003</v>
          </cell>
        </row>
        <row r="497">
          <cell r="A497">
            <v>6251</v>
          </cell>
          <cell r="B497">
            <v>18477.599999999999</v>
          </cell>
        </row>
        <row r="498">
          <cell r="A498" t="str">
            <v>PIRO176</v>
          </cell>
          <cell r="B498">
            <v>3870</v>
          </cell>
        </row>
        <row r="499">
          <cell r="A499">
            <v>223</v>
          </cell>
          <cell r="B499">
            <v>5040</v>
          </cell>
        </row>
        <row r="500">
          <cell r="A500" t="str">
            <v>N5330</v>
          </cell>
          <cell r="B500">
            <v>250</v>
          </cell>
        </row>
        <row r="501">
          <cell r="A501" t="str">
            <v>N716</v>
          </cell>
          <cell r="B501">
            <v>1630</v>
          </cell>
        </row>
        <row r="502">
          <cell r="A502" t="str">
            <v>N1105</v>
          </cell>
          <cell r="B502">
            <v>1630</v>
          </cell>
        </row>
        <row r="503">
          <cell r="A503" t="str">
            <v>N733</v>
          </cell>
          <cell r="B503">
            <v>2300</v>
          </cell>
        </row>
        <row r="504">
          <cell r="A504" t="str">
            <v>N734</v>
          </cell>
          <cell r="B504">
            <v>2590</v>
          </cell>
        </row>
        <row r="505">
          <cell r="A505" t="str">
            <v>N737</v>
          </cell>
          <cell r="B505">
            <v>2590</v>
          </cell>
        </row>
        <row r="506">
          <cell r="A506" t="str">
            <v>N736</v>
          </cell>
          <cell r="B506">
            <v>2590</v>
          </cell>
        </row>
        <row r="507">
          <cell r="A507" t="str">
            <v>N738</v>
          </cell>
          <cell r="B507">
            <v>2300</v>
          </cell>
        </row>
        <row r="508">
          <cell r="A508" t="str">
            <v>N739</v>
          </cell>
          <cell r="B508">
            <v>2300</v>
          </cell>
        </row>
        <row r="509">
          <cell r="A509" t="str">
            <v>N735</v>
          </cell>
          <cell r="B509">
            <v>2590</v>
          </cell>
        </row>
        <row r="510">
          <cell r="A510">
            <v>212</v>
          </cell>
          <cell r="B510">
            <v>4200</v>
          </cell>
        </row>
        <row r="511">
          <cell r="A511">
            <v>214</v>
          </cell>
          <cell r="B511">
            <v>8190</v>
          </cell>
        </row>
        <row r="512">
          <cell r="A512" t="str">
            <v>C15</v>
          </cell>
          <cell r="B512">
            <v>460</v>
          </cell>
        </row>
        <row r="513">
          <cell r="A513" t="str">
            <v>C29</v>
          </cell>
          <cell r="B513">
            <v>924</v>
          </cell>
        </row>
        <row r="514">
          <cell r="A514" t="str">
            <v>C28</v>
          </cell>
          <cell r="B514">
            <v>750</v>
          </cell>
        </row>
        <row r="515">
          <cell r="A515">
            <v>204</v>
          </cell>
          <cell r="B515">
            <v>2460</v>
          </cell>
        </row>
        <row r="516">
          <cell r="A516">
            <v>220</v>
          </cell>
          <cell r="B516">
            <v>8820</v>
          </cell>
        </row>
        <row r="517">
          <cell r="A517">
            <v>102</v>
          </cell>
          <cell r="B517">
            <v>1500</v>
          </cell>
        </row>
        <row r="518">
          <cell r="A518">
            <v>124</v>
          </cell>
          <cell r="B518">
            <v>11940</v>
          </cell>
        </row>
        <row r="519">
          <cell r="A519" t="str">
            <v>N749</v>
          </cell>
          <cell r="B519">
            <v>4060</v>
          </cell>
        </row>
        <row r="520">
          <cell r="A520" t="str">
            <v>N750</v>
          </cell>
          <cell r="B520">
            <v>4060</v>
          </cell>
        </row>
        <row r="521">
          <cell r="A521" t="str">
            <v>N751</v>
          </cell>
          <cell r="B521">
            <v>4060</v>
          </cell>
        </row>
        <row r="522">
          <cell r="A522">
            <v>386</v>
          </cell>
          <cell r="B522">
            <v>3510</v>
          </cell>
        </row>
        <row r="523">
          <cell r="A523">
            <v>16855</v>
          </cell>
          <cell r="B523">
            <v>2310</v>
          </cell>
        </row>
        <row r="524">
          <cell r="A524">
            <v>18370</v>
          </cell>
          <cell r="B524">
            <v>2310</v>
          </cell>
        </row>
        <row r="525">
          <cell r="A525">
            <v>18460</v>
          </cell>
          <cell r="B525">
            <v>1842</v>
          </cell>
        </row>
        <row r="526">
          <cell r="A526">
            <v>18470</v>
          </cell>
          <cell r="B526">
            <v>2310</v>
          </cell>
        </row>
        <row r="527">
          <cell r="A527">
            <v>1855</v>
          </cell>
          <cell r="B527">
            <v>2310</v>
          </cell>
        </row>
        <row r="528">
          <cell r="A528">
            <v>328</v>
          </cell>
          <cell r="B528">
            <v>3150</v>
          </cell>
        </row>
        <row r="529">
          <cell r="A529" t="str">
            <v>N758</v>
          </cell>
          <cell r="B529">
            <v>680</v>
          </cell>
        </row>
        <row r="530">
          <cell r="A530" t="str">
            <v>N769</v>
          </cell>
          <cell r="B530">
            <v>620</v>
          </cell>
        </row>
        <row r="531">
          <cell r="A531">
            <v>498</v>
          </cell>
          <cell r="B531">
            <v>13239.71</v>
          </cell>
        </row>
        <row r="532">
          <cell r="A532" t="str">
            <v>N773</v>
          </cell>
          <cell r="B532">
            <v>3510</v>
          </cell>
        </row>
        <row r="533">
          <cell r="A533" t="str">
            <v>N774</v>
          </cell>
          <cell r="B533">
            <v>3510</v>
          </cell>
        </row>
        <row r="534">
          <cell r="A534" t="str">
            <v>N771</v>
          </cell>
          <cell r="B534">
            <v>12800</v>
          </cell>
        </row>
        <row r="535">
          <cell r="A535" t="str">
            <v>N772</v>
          </cell>
          <cell r="B535">
            <v>12800</v>
          </cell>
        </row>
        <row r="536">
          <cell r="A536">
            <v>780</v>
          </cell>
          <cell r="B536">
            <v>1920</v>
          </cell>
        </row>
        <row r="537">
          <cell r="A537">
            <v>121295</v>
          </cell>
          <cell r="B537">
            <v>4120</v>
          </cell>
        </row>
        <row r="538">
          <cell r="A538">
            <v>394</v>
          </cell>
          <cell r="B538">
            <v>4300</v>
          </cell>
        </row>
        <row r="539">
          <cell r="A539" t="str">
            <v>N785</v>
          </cell>
          <cell r="B539">
            <v>4080</v>
          </cell>
        </row>
        <row r="540">
          <cell r="A540" t="str">
            <v>N788</v>
          </cell>
          <cell r="B540">
            <v>1130</v>
          </cell>
        </row>
        <row r="541">
          <cell r="A541" t="str">
            <v>N789</v>
          </cell>
          <cell r="B541">
            <v>18000</v>
          </cell>
        </row>
        <row r="542">
          <cell r="A542" t="str">
            <v>N5907</v>
          </cell>
          <cell r="B542">
            <v>0.01</v>
          </cell>
        </row>
        <row r="543">
          <cell r="A543">
            <v>314</v>
          </cell>
          <cell r="B543">
            <v>7360</v>
          </cell>
        </row>
        <row r="544">
          <cell r="A544">
            <v>512</v>
          </cell>
          <cell r="B544">
            <v>11340</v>
          </cell>
        </row>
        <row r="545">
          <cell r="A545">
            <v>406</v>
          </cell>
          <cell r="B545">
            <v>725</v>
          </cell>
        </row>
        <row r="546">
          <cell r="A546" t="str">
            <v>N210</v>
          </cell>
          <cell r="B546">
            <v>2170</v>
          </cell>
        </row>
        <row r="547">
          <cell r="A547">
            <v>17862</v>
          </cell>
          <cell r="B547">
            <v>2170</v>
          </cell>
        </row>
        <row r="548">
          <cell r="A548">
            <v>484</v>
          </cell>
          <cell r="B548">
            <v>2170</v>
          </cell>
        </row>
        <row r="549">
          <cell r="A549">
            <v>222</v>
          </cell>
          <cell r="B549">
            <v>3780</v>
          </cell>
        </row>
        <row r="550">
          <cell r="A550">
            <v>189</v>
          </cell>
          <cell r="B550">
            <v>7008</v>
          </cell>
        </row>
        <row r="551">
          <cell r="A551">
            <v>452</v>
          </cell>
          <cell r="B551">
            <v>5040.25</v>
          </cell>
        </row>
        <row r="552">
          <cell r="A552">
            <v>12756</v>
          </cell>
          <cell r="B552">
            <v>6500</v>
          </cell>
        </row>
        <row r="553">
          <cell r="A553" t="str">
            <v>N425</v>
          </cell>
          <cell r="B553">
            <v>6500</v>
          </cell>
        </row>
        <row r="554">
          <cell r="A554" t="str">
            <v>M1</v>
          </cell>
          <cell r="B554">
            <v>1410</v>
          </cell>
        </row>
        <row r="555">
          <cell r="A555">
            <v>10200</v>
          </cell>
          <cell r="B555">
            <v>8158.8</v>
          </cell>
        </row>
        <row r="556">
          <cell r="A556" t="str">
            <v>N492</v>
          </cell>
          <cell r="B556">
            <v>6532.2</v>
          </cell>
        </row>
        <row r="557">
          <cell r="A557">
            <v>190</v>
          </cell>
          <cell r="B557">
            <v>7410</v>
          </cell>
        </row>
        <row r="558">
          <cell r="A558">
            <v>156</v>
          </cell>
          <cell r="B558">
            <v>9388.9599999999991</v>
          </cell>
        </row>
        <row r="559">
          <cell r="A559" t="str">
            <v>N821</v>
          </cell>
          <cell r="B559">
            <v>6185.05</v>
          </cell>
        </row>
        <row r="560">
          <cell r="A560">
            <v>157</v>
          </cell>
          <cell r="B560">
            <v>8243.19</v>
          </cell>
        </row>
        <row r="561">
          <cell r="A561">
            <v>191</v>
          </cell>
          <cell r="B561">
            <v>11669.9</v>
          </cell>
        </row>
        <row r="562">
          <cell r="A562" t="str">
            <v>N845</v>
          </cell>
          <cell r="B562">
            <v>4449.8</v>
          </cell>
        </row>
        <row r="563">
          <cell r="A563">
            <v>485</v>
          </cell>
          <cell r="B563">
            <v>13900.22</v>
          </cell>
        </row>
        <row r="564">
          <cell r="A564" t="str">
            <v>N108</v>
          </cell>
          <cell r="B564">
            <v>4260</v>
          </cell>
        </row>
        <row r="565">
          <cell r="A565" t="str">
            <v>N801</v>
          </cell>
          <cell r="B565">
            <v>2860</v>
          </cell>
        </row>
        <row r="566">
          <cell r="A566" t="str">
            <v>N802</v>
          </cell>
          <cell r="B566">
            <v>2860</v>
          </cell>
        </row>
        <row r="567">
          <cell r="A567">
            <v>1024</v>
          </cell>
          <cell r="B567">
            <v>4020</v>
          </cell>
        </row>
        <row r="568">
          <cell r="A568" t="str">
            <v>N109</v>
          </cell>
          <cell r="B568">
            <v>2860</v>
          </cell>
        </row>
        <row r="569">
          <cell r="A569">
            <v>1022</v>
          </cell>
          <cell r="B569">
            <v>4020</v>
          </cell>
        </row>
        <row r="570">
          <cell r="A570">
            <v>1569</v>
          </cell>
          <cell r="B570">
            <v>2860</v>
          </cell>
        </row>
        <row r="571">
          <cell r="A571" t="str">
            <v>N800</v>
          </cell>
          <cell r="B571">
            <v>4020</v>
          </cell>
        </row>
        <row r="572">
          <cell r="A572">
            <v>1020</v>
          </cell>
          <cell r="B572">
            <v>2860</v>
          </cell>
        </row>
        <row r="573">
          <cell r="A573">
            <v>1021</v>
          </cell>
          <cell r="B573">
            <v>4020</v>
          </cell>
        </row>
        <row r="574">
          <cell r="A574" t="str">
            <v>N853</v>
          </cell>
          <cell r="B574">
            <v>3210</v>
          </cell>
        </row>
        <row r="575">
          <cell r="A575" t="str">
            <v>N161</v>
          </cell>
          <cell r="B575">
            <v>112.6</v>
          </cell>
        </row>
        <row r="576">
          <cell r="A576" t="str">
            <v>N160</v>
          </cell>
          <cell r="B576">
            <v>2116.8000000000002</v>
          </cell>
        </row>
        <row r="577">
          <cell r="A577">
            <v>1553</v>
          </cell>
          <cell r="B577">
            <v>3520</v>
          </cell>
        </row>
        <row r="578">
          <cell r="A578">
            <v>1554</v>
          </cell>
          <cell r="B578">
            <v>4296.6000000000004</v>
          </cell>
        </row>
        <row r="579">
          <cell r="A579">
            <v>1555</v>
          </cell>
          <cell r="B579">
            <v>847.44</v>
          </cell>
        </row>
        <row r="580">
          <cell r="A580">
            <v>1556</v>
          </cell>
          <cell r="B580">
            <v>7114</v>
          </cell>
        </row>
        <row r="581">
          <cell r="A581">
            <v>1557</v>
          </cell>
          <cell r="B581">
            <v>9140</v>
          </cell>
        </row>
        <row r="582">
          <cell r="A582">
            <v>1558</v>
          </cell>
          <cell r="B582">
            <v>11990</v>
          </cell>
        </row>
        <row r="583">
          <cell r="A583">
            <v>1559</v>
          </cell>
          <cell r="B583">
            <v>1797.6</v>
          </cell>
        </row>
        <row r="584">
          <cell r="A584">
            <v>54564</v>
          </cell>
          <cell r="B584">
            <v>1973.08</v>
          </cell>
        </row>
        <row r="585">
          <cell r="A585">
            <v>100</v>
          </cell>
          <cell r="B585">
            <v>229.9</v>
          </cell>
        </row>
        <row r="586">
          <cell r="A586">
            <v>101</v>
          </cell>
          <cell r="B586">
            <v>1386</v>
          </cell>
        </row>
        <row r="587">
          <cell r="A587">
            <v>1685</v>
          </cell>
          <cell r="B587">
            <v>438.7</v>
          </cell>
        </row>
        <row r="588">
          <cell r="A588">
            <v>10041</v>
          </cell>
          <cell r="B588">
            <v>4255</v>
          </cell>
        </row>
        <row r="589">
          <cell r="A589" t="str">
            <v>N1061</v>
          </cell>
          <cell r="B589">
            <v>7260</v>
          </cell>
        </row>
        <row r="590">
          <cell r="A590" t="str">
            <v>N876</v>
          </cell>
          <cell r="B590">
            <v>769</v>
          </cell>
        </row>
        <row r="591">
          <cell r="A591" t="str">
            <v>N875</v>
          </cell>
          <cell r="B591">
            <v>444</v>
          </cell>
        </row>
        <row r="592">
          <cell r="A592" t="str">
            <v>N877</v>
          </cell>
          <cell r="B592">
            <v>750</v>
          </cell>
        </row>
        <row r="593">
          <cell r="A593" t="str">
            <v>S1</v>
          </cell>
          <cell r="B593">
            <v>1</v>
          </cell>
        </row>
        <row r="594">
          <cell r="A594" t="str">
            <v>N898</v>
          </cell>
          <cell r="B594">
            <v>9450</v>
          </cell>
        </row>
        <row r="595">
          <cell r="A595" t="str">
            <v>N900</v>
          </cell>
          <cell r="B595">
            <v>9200</v>
          </cell>
        </row>
        <row r="596">
          <cell r="A596" t="str">
            <v>N901</v>
          </cell>
          <cell r="B596">
            <v>9450</v>
          </cell>
        </row>
        <row r="597">
          <cell r="A597">
            <v>10073</v>
          </cell>
          <cell r="B597">
            <v>4060</v>
          </cell>
        </row>
        <row r="598">
          <cell r="A598">
            <v>1462</v>
          </cell>
          <cell r="B598">
            <v>4060</v>
          </cell>
        </row>
        <row r="599">
          <cell r="A599">
            <v>460</v>
          </cell>
          <cell r="B599">
            <v>4060</v>
          </cell>
        </row>
        <row r="600">
          <cell r="A600">
            <v>461</v>
          </cell>
          <cell r="B600">
            <v>4060</v>
          </cell>
        </row>
        <row r="601">
          <cell r="A601">
            <v>459</v>
          </cell>
          <cell r="B601">
            <v>4060</v>
          </cell>
        </row>
        <row r="602">
          <cell r="A602">
            <v>10118</v>
          </cell>
          <cell r="B602">
            <v>2770</v>
          </cell>
        </row>
        <row r="603">
          <cell r="A603">
            <v>105</v>
          </cell>
          <cell r="B603">
            <v>5098.5</v>
          </cell>
        </row>
        <row r="604">
          <cell r="A604" t="str">
            <v>N512</v>
          </cell>
          <cell r="B604">
            <v>5098.5</v>
          </cell>
        </row>
        <row r="605">
          <cell r="A605">
            <v>10117</v>
          </cell>
          <cell r="B605">
            <v>2770</v>
          </cell>
        </row>
        <row r="606">
          <cell r="A606" t="str">
            <v>N933</v>
          </cell>
          <cell r="B606">
            <v>218.2</v>
          </cell>
        </row>
        <row r="607">
          <cell r="A607" t="str">
            <v>N1364</v>
          </cell>
          <cell r="B607">
            <v>2220</v>
          </cell>
        </row>
        <row r="608">
          <cell r="A608" t="str">
            <v>N1361</v>
          </cell>
          <cell r="B608">
            <v>2220</v>
          </cell>
        </row>
        <row r="609">
          <cell r="A609" t="str">
            <v>N1360</v>
          </cell>
          <cell r="B609">
            <v>2220</v>
          </cell>
        </row>
        <row r="610">
          <cell r="A610" t="str">
            <v>N1362</v>
          </cell>
          <cell r="B610">
            <v>2220</v>
          </cell>
        </row>
        <row r="611">
          <cell r="A611">
            <v>1830</v>
          </cell>
          <cell r="B611">
            <v>217.6</v>
          </cell>
        </row>
        <row r="612">
          <cell r="A612" t="str">
            <v>N1143</v>
          </cell>
          <cell r="B612">
            <v>470</v>
          </cell>
        </row>
        <row r="613">
          <cell r="A613" t="str">
            <v>L8</v>
          </cell>
          <cell r="B613">
            <v>1490</v>
          </cell>
        </row>
        <row r="614">
          <cell r="A614" t="str">
            <v>L3</v>
          </cell>
          <cell r="B614">
            <v>1490</v>
          </cell>
        </row>
        <row r="615">
          <cell r="A615" t="str">
            <v>N1138</v>
          </cell>
          <cell r="B615">
            <v>1524.6</v>
          </cell>
        </row>
        <row r="616">
          <cell r="A616" t="str">
            <v>N1018</v>
          </cell>
          <cell r="B616">
            <v>1524.6</v>
          </cell>
        </row>
        <row r="617">
          <cell r="A617" t="str">
            <v>N594</v>
          </cell>
          <cell r="B617">
            <v>1524.6</v>
          </cell>
        </row>
        <row r="618">
          <cell r="A618" t="str">
            <v>L25</v>
          </cell>
          <cell r="B618">
            <v>2680</v>
          </cell>
        </row>
        <row r="619">
          <cell r="A619" t="str">
            <v>N 1273</v>
          </cell>
          <cell r="B619">
            <v>294.7</v>
          </cell>
        </row>
        <row r="620">
          <cell r="A620" t="str">
            <v>N5829</v>
          </cell>
          <cell r="B620">
            <v>810</v>
          </cell>
        </row>
        <row r="621">
          <cell r="A621" t="str">
            <v>C9</v>
          </cell>
          <cell r="B621">
            <v>1490</v>
          </cell>
        </row>
        <row r="622">
          <cell r="A622" t="str">
            <v>N971</v>
          </cell>
          <cell r="B622">
            <v>690</v>
          </cell>
        </row>
        <row r="623">
          <cell r="A623" t="str">
            <v>L36</v>
          </cell>
          <cell r="B623">
            <v>630</v>
          </cell>
        </row>
        <row r="624">
          <cell r="A624" t="str">
            <v>N973</v>
          </cell>
          <cell r="B624">
            <v>882</v>
          </cell>
        </row>
        <row r="625">
          <cell r="A625" t="str">
            <v>N1307</v>
          </cell>
          <cell r="B625">
            <v>1304.9000000000001</v>
          </cell>
        </row>
        <row r="626">
          <cell r="A626">
            <v>12753</v>
          </cell>
          <cell r="B626">
            <v>1304.9000000000001</v>
          </cell>
        </row>
        <row r="627">
          <cell r="A627" t="str">
            <v>N819</v>
          </cell>
          <cell r="B627">
            <v>960</v>
          </cell>
        </row>
        <row r="628">
          <cell r="A628">
            <v>342</v>
          </cell>
          <cell r="B628">
            <v>6650</v>
          </cell>
        </row>
        <row r="629">
          <cell r="A629">
            <v>405</v>
          </cell>
          <cell r="B629">
            <v>6650</v>
          </cell>
        </row>
        <row r="630">
          <cell r="A630">
            <v>885</v>
          </cell>
          <cell r="B630">
            <v>12991.17</v>
          </cell>
        </row>
        <row r="631">
          <cell r="A631" t="str">
            <v>N142</v>
          </cell>
          <cell r="B631">
            <v>4599</v>
          </cell>
        </row>
        <row r="632">
          <cell r="A632" t="str">
            <v>N2522</v>
          </cell>
          <cell r="B632">
            <v>410</v>
          </cell>
        </row>
        <row r="633">
          <cell r="A633">
            <v>506</v>
          </cell>
          <cell r="B633">
            <v>590</v>
          </cell>
        </row>
        <row r="634">
          <cell r="A634" t="str">
            <v>N990</v>
          </cell>
          <cell r="B634">
            <v>6912</v>
          </cell>
        </row>
        <row r="635">
          <cell r="A635">
            <v>496</v>
          </cell>
          <cell r="B635">
            <v>9290</v>
          </cell>
        </row>
        <row r="636">
          <cell r="A636">
            <v>9900</v>
          </cell>
          <cell r="B636">
            <v>5995</v>
          </cell>
        </row>
        <row r="637">
          <cell r="A637" t="str">
            <v>N400</v>
          </cell>
          <cell r="B637">
            <v>6840.9</v>
          </cell>
        </row>
        <row r="638">
          <cell r="A638">
            <v>217</v>
          </cell>
          <cell r="B638">
            <v>3950</v>
          </cell>
        </row>
        <row r="639">
          <cell r="A639">
            <v>389</v>
          </cell>
          <cell r="B639">
            <v>560</v>
          </cell>
        </row>
        <row r="640">
          <cell r="A640" t="str">
            <v>C19</v>
          </cell>
          <cell r="B640">
            <v>315</v>
          </cell>
        </row>
        <row r="641">
          <cell r="A641" t="str">
            <v>C18</v>
          </cell>
          <cell r="B641">
            <v>315</v>
          </cell>
        </row>
        <row r="642">
          <cell r="A642">
            <v>1006</v>
          </cell>
          <cell r="B642">
            <v>430</v>
          </cell>
        </row>
        <row r="643">
          <cell r="A643">
            <v>850</v>
          </cell>
          <cell r="B643">
            <v>439.9</v>
          </cell>
        </row>
        <row r="644">
          <cell r="A644">
            <v>15152</v>
          </cell>
          <cell r="B644">
            <v>15279.2</v>
          </cell>
        </row>
        <row r="645">
          <cell r="A645" t="str">
            <v>N1005</v>
          </cell>
          <cell r="B645">
            <v>1740</v>
          </cell>
        </row>
        <row r="646">
          <cell r="A646">
            <v>1815</v>
          </cell>
          <cell r="B646">
            <v>13120</v>
          </cell>
        </row>
        <row r="647">
          <cell r="A647">
            <v>120</v>
          </cell>
          <cell r="B647">
            <v>11390</v>
          </cell>
        </row>
        <row r="648">
          <cell r="A648" t="str">
            <v>N1019</v>
          </cell>
          <cell r="B648">
            <v>3650</v>
          </cell>
        </row>
        <row r="649">
          <cell r="A649">
            <v>1414</v>
          </cell>
          <cell r="B649">
            <v>3650</v>
          </cell>
        </row>
        <row r="650">
          <cell r="A650">
            <v>1415</v>
          </cell>
          <cell r="B650">
            <v>3650</v>
          </cell>
        </row>
        <row r="651">
          <cell r="A651">
            <v>1418</v>
          </cell>
          <cell r="B651">
            <v>3650</v>
          </cell>
        </row>
        <row r="652">
          <cell r="A652" t="str">
            <v>N1020</v>
          </cell>
          <cell r="B652">
            <v>3650</v>
          </cell>
        </row>
        <row r="653">
          <cell r="A653">
            <v>1416</v>
          </cell>
          <cell r="B653">
            <v>3650</v>
          </cell>
        </row>
        <row r="654">
          <cell r="A654">
            <v>1417</v>
          </cell>
          <cell r="B654">
            <v>3650</v>
          </cell>
        </row>
        <row r="655">
          <cell r="A655" t="str">
            <v>N368</v>
          </cell>
          <cell r="B655">
            <v>4160</v>
          </cell>
        </row>
        <row r="656">
          <cell r="A656">
            <v>469</v>
          </cell>
          <cell r="B656">
            <v>4280</v>
          </cell>
        </row>
        <row r="657">
          <cell r="A657" t="str">
            <v>N1230</v>
          </cell>
          <cell r="B657">
            <v>4160</v>
          </cell>
        </row>
        <row r="658">
          <cell r="A658" t="str">
            <v>N1224</v>
          </cell>
          <cell r="B658">
            <v>4160</v>
          </cell>
        </row>
        <row r="659">
          <cell r="A659" t="str">
            <v>N1223</v>
          </cell>
          <cell r="B659">
            <v>4160</v>
          </cell>
        </row>
        <row r="660">
          <cell r="A660">
            <v>136</v>
          </cell>
          <cell r="B660">
            <v>4160</v>
          </cell>
        </row>
        <row r="661">
          <cell r="A661" t="str">
            <v>N1033</v>
          </cell>
          <cell r="B661">
            <v>1600</v>
          </cell>
        </row>
        <row r="662">
          <cell r="A662">
            <v>154</v>
          </cell>
          <cell r="B662">
            <v>1620</v>
          </cell>
        </row>
        <row r="663">
          <cell r="A663" t="str">
            <v>N2354</v>
          </cell>
          <cell r="B663">
            <v>4560</v>
          </cell>
        </row>
        <row r="664">
          <cell r="A664" t="str">
            <v>N1083</v>
          </cell>
          <cell r="B664">
            <v>4560</v>
          </cell>
        </row>
        <row r="665">
          <cell r="A665">
            <v>121290</v>
          </cell>
          <cell r="B665">
            <v>4560</v>
          </cell>
        </row>
        <row r="666">
          <cell r="A666">
            <v>1890</v>
          </cell>
          <cell r="B666">
            <v>4560</v>
          </cell>
        </row>
        <row r="667">
          <cell r="A667" t="str">
            <v>N138</v>
          </cell>
          <cell r="B667">
            <v>4560</v>
          </cell>
        </row>
        <row r="668">
          <cell r="A668" t="str">
            <v>N2435</v>
          </cell>
          <cell r="B668">
            <v>4560</v>
          </cell>
        </row>
        <row r="669">
          <cell r="A669" t="str">
            <v>N2356</v>
          </cell>
          <cell r="B669">
            <v>4560</v>
          </cell>
        </row>
        <row r="670">
          <cell r="A670">
            <v>7798190000000</v>
          </cell>
          <cell r="B670">
            <v>4560</v>
          </cell>
        </row>
        <row r="671">
          <cell r="A671">
            <v>14357</v>
          </cell>
          <cell r="B671">
            <v>4560</v>
          </cell>
        </row>
        <row r="672">
          <cell r="A672">
            <v>1849</v>
          </cell>
          <cell r="B672">
            <v>4560</v>
          </cell>
        </row>
        <row r="673">
          <cell r="A673">
            <v>1072</v>
          </cell>
          <cell r="B673">
            <v>4460</v>
          </cell>
        </row>
        <row r="674">
          <cell r="A674" t="str">
            <v>N1033</v>
          </cell>
          <cell r="B674">
            <v>1600</v>
          </cell>
        </row>
        <row r="675">
          <cell r="A675">
            <v>154</v>
          </cell>
          <cell r="B675">
            <v>1620</v>
          </cell>
        </row>
        <row r="676">
          <cell r="A676" t="str">
            <v>N2354</v>
          </cell>
          <cell r="B676">
            <v>4560</v>
          </cell>
        </row>
        <row r="677">
          <cell r="A677" t="str">
            <v>N1083</v>
          </cell>
          <cell r="B677">
            <v>4560</v>
          </cell>
        </row>
        <row r="678">
          <cell r="A678">
            <v>121290</v>
          </cell>
          <cell r="B678">
            <v>4560</v>
          </cell>
        </row>
        <row r="679">
          <cell r="A679">
            <v>1890</v>
          </cell>
          <cell r="B679">
            <v>4560</v>
          </cell>
        </row>
        <row r="680">
          <cell r="A680" t="str">
            <v>N138</v>
          </cell>
          <cell r="B680">
            <v>4560</v>
          </cell>
        </row>
        <row r="681">
          <cell r="A681" t="str">
            <v>N2435</v>
          </cell>
          <cell r="B681">
            <v>4560</v>
          </cell>
        </row>
        <row r="682">
          <cell r="A682" t="str">
            <v>N2356</v>
          </cell>
          <cell r="B682">
            <v>4560</v>
          </cell>
        </row>
        <row r="683">
          <cell r="A683">
            <v>7798190000000</v>
          </cell>
          <cell r="B683">
            <v>4560</v>
          </cell>
        </row>
        <row r="684">
          <cell r="A684">
            <v>14357</v>
          </cell>
          <cell r="B684">
            <v>4560</v>
          </cell>
        </row>
        <row r="685">
          <cell r="A685">
            <v>1849</v>
          </cell>
          <cell r="B685">
            <v>4560</v>
          </cell>
        </row>
        <row r="686">
          <cell r="A686">
            <v>1072</v>
          </cell>
          <cell r="B686">
            <v>4460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2B44-91A0-45EA-8F8B-44113D9EFB10}">
  <dimension ref="A1:K405"/>
  <sheetViews>
    <sheetView tabSelected="1" workbookViewId="0">
      <selection activeCell="B6" sqref="B6"/>
    </sheetView>
  </sheetViews>
  <sheetFormatPr baseColWidth="10" defaultRowHeight="15"/>
  <cols>
    <col min="1" max="1" width="33.28515625" customWidth="1"/>
    <col min="2" max="2" width="18.85546875" customWidth="1"/>
    <col min="5" max="5" width="15.140625" customWidth="1"/>
    <col min="6" max="6" width="16.85546875" customWidth="1"/>
    <col min="7" max="7" width="15.5703125" customWidth="1"/>
    <col min="9" max="9" width="16.140625" customWidth="1"/>
    <col min="10" max="10" width="14.85546875" customWidth="1"/>
    <col min="11" max="11" width="14.28515625" customWidth="1"/>
  </cols>
  <sheetData>
    <row r="1" spans="1:11">
      <c r="A1" t="s">
        <v>404</v>
      </c>
      <c r="B1" t="s">
        <v>436</v>
      </c>
      <c r="C1" s="9" t="s">
        <v>405</v>
      </c>
      <c r="D1" s="9" t="s">
        <v>406</v>
      </c>
      <c r="E1" s="9" t="s">
        <v>407</v>
      </c>
      <c r="F1" s="9" t="s">
        <v>408</v>
      </c>
      <c r="G1" s="9" t="s">
        <v>435</v>
      </c>
      <c r="H1" s="9" t="s">
        <v>409</v>
      </c>
      <c r="I1" s="9" t="s">
        <v>410</v>
      </c>
      <c r="J1" s="9" t="s">
        <v>411</v>
      </c>
      <c r="K1" s="9" t="s">
        <v>412</v>
      </c>
    </row>
    <row r="2" spans="1:11">
      <c r="A2" s="1" t="s">
        <v>0</v>
      </c>
      <c r="B2" s="15"/>
      <c r="C2" s="1" t="s">
        <v>413</v>
      </c>
      <c r="D2" s="1" t="s">
        <v>414</v>
      </c>
      <c r="E2" s="10">
        <f>IFERROR(VLOOKUP(C2, [1]actualizado!A:B, 2, FALSE), E2)</f>
        <v>2370</v>
      </c>
      <c r="F2" s="11">
        <v>1</v>
      </c>
      <c r="G2" s="12">
        <f t="shared" ref="G2:G60" si="0">E2/F2</f>
        <v>2370</v>
      </c>
      <c r="H2" s="7"/>
      <c r="I2" s="7"/>
      <c r="J2" s="7"/>
      <c r="K2" s="13"/>
    </row>
    <row r="3" spans="1:11">
      <c r="A3" s="1" t="s">
        <v>1</v>
      </c>
      <c r="B3" s="8"/>
      <c r="C3" s="1" t="s">
        <v>413</v>
      </c>
      <c r="D3" s="1" t="s">
        <v>414</v>
      </c>
      <c r="E3" s="10">
        <f>IFERROR(VLOOKUP(C3, [1]actualizado!A:B, 2, FALSE), E3)</f>
        <v>2370</v>
      </c>
      <c r="F3" s="11">
        <v>1</v>
      </c>
      <c r="G3" s="12">
        <f t="shared" si="0"/>
        <v>2370</v>
      </c>
      <c r="H3" s="7"/>
      <c r="I3" s="7"/>
      <c r="J3" s="7"/>
      <c r="K3" s="13"/>
    </row>
    <row r="4" spans="1:11">
      <c r="A4" s="1" t="s">
        <v>2</v>
      </c>
      <c r="B4" s="8"/>
      <c r="C4" s="1" t="s">
        <v>413</v>
      </c>
      <c r="D4" s="1" t="s">
        <v>414</v>
      </c>
      <c r="E4" s="10">
        <f>IFERROR(VLOOKUP(C4, [1]actualizado!A:B, 2, FALSE), E4)</f>
        <v>2370</v>
      </c>
      <c r="F4" s="11">
        <v>1</v>
      </c>
      <c r="G4" s="12">
        <f t="shared" si="0"/>
        <v>2370</v>
      </c>
      <c r="H4" s="7"/>
      <c r="I4" s="7"/>
      <c r="J4" s="7"/>
      <c r="K4" s="13"/>
    </row>
    <row r="5" spans="1:11">
      <c r="A5" s="1" t="s">
        <v>3</v>
      </c>
      <c r="B5" s="8"/>
      <c r="C5" s="1" t="s">
        <v>413</v>
      </c>
      <c r="D5" s="1" t="s">
        <v>414</v>
      </c>
      <c r="E5" s="10">
        <f>IFERROR(VLOOKUP(C5, [1]actualizado!A:B, 2, FALSE), E5)</f>
        <v>2370</v>
      </c>
      <c r="F5" s="11">
        <v>10</v>
      </c>
      <c r="G5" s="12">
        <f t="shared" si="0"/>
        <v>237</v>
      </c>
      <c r="H5" s="7"/>
      <c r="I5" s="7"/>
      <c r="J5" s="7"/>
      <c r="K5" s="13"/>
    </row>
    <row r="6" spans="1:11">
      <c r="A6" s="1" t="s">
        <v>4</v>
      </c>
      <c r="B6" s="8"/>
      <c r="C6" s="1" t="s">
        <v>413</v>
      </c>
      <c r="D6" s="1" t="s">
        <v>414</v>
      </c>
      <c r="E6" s="10">
        <f>IFERROR(VLOOKUP(C6, [1]actualizado!A:B, 2, FALSE), E6)</f>
        <v>2370</v>
      </c>
      <c r="F6" s="11">
        <v>10</v>
      </c>
      <c r="G6" s="12">
        <f t="shared" si="0"/>
        <v>237</v>
      </c>
      <c r="H6" s="7"/>
      <c r="I6" s="7"/>
      <c r="J6" s="7"/>
      <c r="K6" s="13"/>
    </row>
    <row r="7" spans="1:11">
      <c r="A7" s="1" t="s">
        <v>5</v>
      </c>
      <c r="B7" s="8"/>
      <c r="C7" s="1" t="s">
        <v>413</v>
      </c>
      <c r="D7" s="1" t="s">
        <v>414</v>
      </c>
      <c r="E7" s="10">
        <f>IFERROR(VLOOKUP(C7, [1]actualizado!A:B, 2, FALSE), E7)</f>
        <v>2370</v>
      </c>
      <c r="F7" s="11">
        <v>10</v>
      </c>
      <c r="G7" s="12">
        <f t="shared" si="0"/>
        <v>237</v>
      </c>
      <c r="H7" s="7" t="s">
        <v>415</v>
      </c>
      <c r="I7" s="7" t="s">
        <v>416</v>
      </c>
      <c r="J7" s="7"/>
      <c r="K7" s="13" t="e">
        <f ca="1">_xludf.IFS(H7="SI",J7/F7,H7="NO",1)</f>
        <v>#NAME?</v>
      </c>
    </row>
    <row r="8" spans="1:11">
      <c r="A8" s="2" t="s">
        <v>6</v>
      </c>
      <c r="B8" s="8"/>
      <c r="C8" s="1" t="s">
        <v>413</v>
      </c>
      <c r="D8" s="1" t="s">
        <v>414</v>
      </c>
      <c r="E8" s="10">
        <f>IFERROR(VLOOKUP(C8, [1]actualizado!A:B, 2, FALSE), E8)</f>
        <v>2370</v>
      </c>
      <c r="F8" s="11">
        <v>10</v>
      </c>
      <c r="G8" s="12">
        <f t="shared" si="0"/>
        <v>237</v>
      </c>
      <c r="H8" s="7"/>
      <c r="I8" s="7"/>
      <c r="J8" s="7"/>
      <c r="K8" s="13"/>
    </row>
    <row r="9" spans="1:11">
      <c r="A9" s="1" t="s">
        <v>7</v>
      </c>
      <c r="B9" s="8"/>
      <c r="C9" s="1" t="s">
        <v>413</v>
      </c>
      <c r="D9" s="1" t="s">
        <v>414</v>
      </c>
      <c r="E9" s="10">
        <f>IFERROR(VLOOKUP(C9, [1]actualizado!A:B, 2, FALSE), E9)</f>
        <v>2370</v>
      </c>
      <c r="F9" s="11">
        <v>1</v>
      </c>
      <c r="G9" s="12">
        <f t="shared" si="0"/>
        <v>2370</v>
      </c>
      <c r="H9" s="7"/>
      <c r="I9" s="7"/>
      <c r="J9" s="7"/>
      <c r="K9" s="13" t="e">
        <f t="shared" ref="K9:K13" ca="1" si="1">_xludf.IFS(H9="SI",J9/F9,H9="NO",1)</f>
        <v>#NAME?</v>
      </c>
    </row>
    <row r="10" spans="1:11">
      <c r="A10" s="2" t="s">
        <v>8</v>
      </c>
      <c r="B10" s="8"/>
      <c r="C10" s="1" t="s">
        <v>413</v>
      </c>
      <c r="D10" s="1" t="s">
        <v>414</v>
      </c>
      <c r="E10" s="10">
        <f>IFERROR(VLOOKUP(C10, [1]actualizado!A:B, 2, FALSE), E10)</f>
        <v>2370</v>
      </c>
      <c r="F10" s="11">
        <v>20</v>
      </c>
      <c r="G10" s="12">
        <f t="shared" si="0"/>
        <v>118.5</v>
      </c>
      <c r="H10" s="7"/>
      <c r="I10" s="7"/>
      <c r="J10" s="7"/>
      <c r="K10" s="13" t="e">
        <f t="shared" ca="1" si="1"/>
        <v>#NAME?</v>
      </c>
    </row>
    <row r="11" spans="1:11">
      <c r="A11" s="2" t="s">
        <v>9</v>
      </c>
      <c r="B11" s="8"/>
      <c r="C11" s="1" t="s">
        <v>413</v>
      </c>
      <c r="D11" s="1" t="s">
        <v>414</v>
      </c>
      <c r="E11" s="10">
        <f>IFERROR(VLOOKUP(C11, [1]actualizado!A:B, 2, FALSE), E11)</f>
        <v>2370</v>
      </c>
      <c r="F11" s="11">
        <v>20</v>
      </c>
      <c r="G11" s="12">
        <f t="shared" si="0"/>
        <v>118.5</v>
      </c>
      <c r="H11" s="7"/>
      <c r="I11" s="7"/>
      <c r="J11" s="7"/>
      <c r="K11" s="13" t="e">
        <f t="shared" ca="1" si="1"/>
        <v>#NAME?</v>
      </c>
    </row>
    <row r="12" spans="1:11">
      <c r="A12" s="2" t="s">
        <v>10</v>
      </c>
      <c r="B12" s="8"/>
      <c r="C12" s="1" t="s">
        <v>413</v>
      </c>
      <c r="D12" s="1" t="s">
        <v>414</v>
      </c>
      <c r="E12" s="10">
        <f>IFERROR(VLOOKUP(C12, [1]actualizado!A:B, 2, FALSE), E12)</f>
        <v>2370</v>
      </c>
      <c r="F12" s="11">
        <v>36</v>
      </c>
      <c r="G12" s="12">
        <f t="shared" si="0"/>
        <v>65.833333333333329</v>
      </c>
      <c r="H12" s="7"/>
      <c r="I12" s="7"/>
      <c r="J12" s="7"/>
      <c r="K12" s="13" t="e">
        <f t="shared" ca="1" si="1"/>
        <v>#NAME?</v>
      </c>
    </row>
    <row r="13" spans="1:11">
      <c r="A13" s="2" t="s">
        <v>11</v>
      </c>
      <c r="B13" s="8"/>
      <c r="C13" s="1" t="s">
        <v>413</v>
      </c>
      <c r="D13" s="1" t="s">
        <v>414</v>
      </c>
      <c r="E13" s="10">
        <f>IFERROR(VLOOKUP(C13, [1]actualizado!A:B, 2, FALSE), E13)</f>
        <v>2370</v>
      </c>
      <c r="F13" s="11">
        <v>1</v>
      </c>
      <c r="G13" s="12">
        <f t="shared" si="0"/>
        <v>2370</v>
      </c>
      <c r="H13" s="7"/>
      <c r="I13" s="7"/>
      <c r="J13" s="7"/>
      <c r="K13" s="13" t="e">
        <f t="shared" ca="1" si="1"/>
        <v>#NAME?</v>
      </c>
    </row>
    <row r="14" spans="1:11">
      <c r="A14" s="2" t="s">
        <v>12</v>
      </c>
      <c r="B14" s="8"/>
      <c r="C14" s="1" t="s">
        <v>413</v>
      </c>
      <c r="D14" s="1" t="s">
        <v>414</v>
      </c>
      <c r="E14" s="10">
        <f>IFERROR(VLOOKUP(C14, [1]actualizado!A:B, 2, FALSE), E14)</f>
        <v>2370</v>
      </c>
      <c r="F14" s="11">
        <v>1</v>
      </c>
      <c r="G14" s="12">
        <f t="shared" si="0"/>
        <v>2370</v>
      </c>
      <c r="H14" s="7"/>
      <c r="I14" s="7"/>
      <c r="J14" s="7"/>
      <c r="K14" s="13"/>
    </row>
    <row r="15" spans="1:11">
      <c r="A15" s="1" t="s">
        <v>13</v>
      </c>
      <c r="B15" s="8"/>
      <c r="C15" s="1" t="s">
        <v>413</v>
      </c>
      <c r="D15" s="1" t="s">
        <v>414</v>
      </c>
      <c r="E15" s="10">
        <f>IFERROR(VLOOKUP(C15, [1]actualizado!A:B, 2, FALSE), E15)</f>
        <v>2370</v>
      </c>
      <c r="F15" s="11">
        <v>1</v>
      </c>
      <c r="G15" s="12">
        <f t="shared" si="0"/>
        <v>2370</v>
      </c>
      <c r="H15" s="7"/>
      <c r="I15" s="7"/>
      <c r="J15" s="7"/>
      <c r="K15" s="13"/>
    </row>
    <row r="16" spans="1:11">
      <c r="A16" s="1" t="s">
        <v>14</v>
      </c>
      <c r="B16" s="8"/>
      <c r="C16" s="1" t="s">
        <v>413</v>
      </c>
      <c r="D16" s="1" t="s">
        <v>414</v>
      </c>
      <c r="E16" s="10">
        <f>IFERROR(VLOOKUP(C16, [1]actualizado!A:B, 2, FALSE), E16)</f>
        <v>2370</v>
      </c>
      <c r="F16" s="11">
        <v>1</v>
      </c>
      <c r="G16" s="12">
        <f t="shared" si="0"/>
        <v>2370</v>
      </c>
      <c r="H16" s="7"/>
      <c r="I16" s="7"/>
      <c r="J16" s="7"/>
      <c r="K16" s="13" t="e">
        <f t="shared" ref="K16:K21" ca="1" si="2">_xludf.IFS(H16="SI",J16/F16,H16="NO",1)</f>
        <v>#NAME?</v>
      </c>
    </row>
    <row r="17" spans="1:11">
      <c r="A17" s="2" t="s">
        <v>15</v>
      </c>
      <c r="B17" s="8"/>
      <c r="C17" s="1" t="s">
        <v>413</v>
      </c>
      <c r="D17" s="1" t="s">
        <v>414</v>
      </c>
      <c r="E17" s="10">
        <f>IFERROR(VLOOKUP(C17, [1]actualizado!A:B, 2, FALSE), E17)</f>
        <v>2370</v>
      </c>
      <c r="F17" s="11">
        <v>12</v>
      </c>
      <c r="G17" s="12">
        <f t="shared" si="0"/>
        <v>197.5</v>
      </c>
      <c r="H17" s="7" t="s">
        <v>415</v>
      </c>
      <c r="I17" s="7" t="s">
        <v>417</v>
      </c>
      <c r="J17" s="7"/>
      <c r="K17" s="13" t="e">
        <f t="shared" ca="1" si="2"/>
        <v>#NAME?</v>
      </c>
    </row>
    <row r="18" spans="1:11">
      <c r="A18" s="2" t="s">
        <v>16</v>
      </c>
      <c r="B18" s="8"/>
      <c r="C18" s="1" t="s">
        <v>413</v>
      </c>
      <c r="D18" s="1" t="s">
        <v>414</v>
      </c>
      <c r="E18" s="10">
        <f>IFERROR(VLOOKUP(C18, [1]actualizado!A:B, 2, FALSE), E18)</f>
        <v>2370</v>
      </c>
      <c r="F18" s="11">
        <v>1</v>
      </c>
      <c r="G18" s="12">
        <f t="shared" si="0"/>
        <v>2370</v>
      </c>
      <c r="H18" s="7" t="s">
        <v>415</v>
      </c>
      <c r="I18" s="7" t="s">
        <v>417</v>
      </c>
      <c r="J18" s="7"/>
      <c r="K18" s="13" t="e">
        <f t="shared" ca="1" si="2"/>
        <v>#NAME?</v>
      </c>
    </row>
    <row r="19" spans="1:11">
      <c r="A19" s="2" t="s">
        <v>17</v>
      </c>
      <c r="B19" s="8"/>
      <c r="C19" s="1" t="s">
        <v>413</v>
      </c>
      <c r="D19" s="1" t="s">
        <v>414</v>
      </c>
      <c r="E19" s="10">
        <f>IFERROR(VLOOKUP(C19, [1]actualizado!A:B, 2, FALSE), E19)</f>
        <v>2370</v>
      </c>
      <c r="F19" s="11">
        <v>1</v>
      </c>
      <c r="G19" s="12">
        <f t="shared" si="0"/>
        <v>2370</v>
      </c>
      <c r="H19" s="7" t="s">
        <v>415</v>
      </c>
      <c r="I19" s="7" t="s">
        <v>417</v>
      </c>
      <c r="J19" s="7"/>
      <c r="K19" s="13" t="e">
        <f t="shared" ca="1" si="2"/>
        <v>#NAME?</v>
      </c>
    </row>
    <row r="20" spans="1:11">
      <c r="A20" s="2" t="s">
        <v>18</v>
      </c>
      <c r="B20" s="8"/>
      <c r="C20" s="1" t="s">
        <v>413</v>
      </c>
      <c r="D20" s="1" t="s">
        <v>414</v>
      </c>
      <c r="E20" s="10">
        <f>IFERROR(VLOOKUP(C20, [1]actualizado!A:B, 2, FALSE), E20)</f>
        <v>2370</v>
      </c>
      <c r="F20" s="11">
        <v>1</v>
      </c>
      <c r="G20" s="12">
        <f t="shared" si="0"/>
        <v>2370</v>
      </c>
      <c r="H20" s="7"/>
      <c r="I20" s="7"/>
      <c r="J20" s="7"/>
      <c r="K20" s="13" t="e">
        <f t="shared" ca="1" si="2"/>
        <v>#NAME?</v>
      </c>
    </row>
    <row r="21" spans="1:11">
      <c r="A21" s="2" t="s">
        <v>19</v>
      </c>
      <c r="B21" s="8"/>
      <c r="C21" s="1" t="s">
        <v>413</v>
      </c>
      <c r="D21" s="1" t="s">
        <v>414</v>
      </c>
      <c r="E21" s="10">
        <f>IFERROR(VLOOKUP(C21, [1]actualizado!A:B, 2, FALSE), E21)</f>
        <v>2370</v>
      </c>
      <c r="F21" s="11">
        <v>10</v>
      </c>
      <c r="G21" s="12">
        <f t="shared" si="0"/>
        <v>237</v>
      </c>
      <c r="H21" s="7"/>
      <c r="I21" s="7"/>
      <c r="J21" s="7"/>
      <c r="K21" s="13" t="e">
        <f t="shared" ca="1" si="2"/>
        <v>#NAME?</v>
      </c>
    </row>
    <row r="22" spans="1:11">
      <c r="A22" s="1" t="s">
        <v>20</v>
      </c>
      <c r="B22" s="8"/>
      <c r="C22" s="1" t="s">
        <v>413</v>
      </c>
      <c r="D22" s="1" t="s">
        <v>414</v>
      </c>
      <c r="E22" s="10">
        <f>IFERROR(VLOOKUP(C22, [1]actualizado!A:B, 2, FALSE), E22)</f>
        <v>2370</v>
      </c>
      <c r="F22" s="11">
        <v>6</v>
      </c>
      <c r="G22" s="12">
        <f t="shared" si="0"/>
        <v>395</v>
      </c>
      <c r="H22" s="7"/>
      <c r="I22" s="7"/>
      <c r="J22" s="7"/>
      <c r="K22" s="13"/>
    </row>
    <row r="23" spans="1:11">
      <c r="A23" s="1" t="s">
        <v>21</v>
      </c>
      <c r="B23" s="8"/>
      <c r="C23" s="1" t="s">
        <v>413</v>
      </c>
      <c r="D23" s="1" t="s">
        <v>414</v>
      </c>
      <c r="E23" s="10">
        <f>IFERROR(VLOOKUP(C23, [1]actualizado!A:B, 2, FALSE), E23)</f>
        <v>2370</v>
      </c>
      <c r="F23" s="11">
        <v>6</v>
      </c>
      <c r="G23" s="12">
        <f t="shared" si="0"/>
        <v>395</v>
      </c>
      <c r="H23" s="7"/>
      <c r="I23" s="7"/>
      <c r="J23" s="7"/>
      <c r="K23" s="13"/>
    </row>
    <row r="24" spans="1:11">
      <c r="A24" s="1" t="s">
        <v>22</v>
      </c>
      <c r="B24" s="8"/>
      <c r="C24" s="1" t="s">
        <v>413</v>
      </c>
      <c r="D24" s="1" t="s">
        <v>414</v>
      </c>
      <c r="E24" s="10">
        <f>IFERROR(VLOOKUP(C24, [1]actualizado!A:B, 2, FALSE), E24)</f>
        <v>2370</v>
      </c>
      <c r="F24" s="11">
        <v>6</v>
      </c>
      <c r="G24" s="12">
        <f t="shared" si="0"/>
        <v>395</v>
      </c>
      <c r="H24" s="7"/>
      <c r="I24" s="7"/>
      <c r="J24" s="7"/>
      <c r="K24" s="13"/>
    </row>
    <row r="25" spans="1:11">
      <c r="A25" s="1" t="s">
        <v>23</v>
      </c>
      <c r="B25" s="8"/>
      <c r="C25" s="1" t="s">
        <v>413</v>
      </c>
      <c r="D25" s="1" t="s">
        <v>414</v>
      </c>
      <c r="E25" s="10">
        <f>IFERROR(VLOOKUP(C25, [1]actualizado!A:B, 2, FALSE), E25)</f>
        <v>2370</v>
      </c>
      <c r="F25" s="11">
        <v>6</v>
      </c>
      <c r="G25" s="12">
        <f t="shared" si="0"/>
        <v>395</v>
      </c>
      <c r="H25" s="7"/>
      <c r="I25" s="7"/>
      <c r="J25" s="7"/>
      <c r="K25" s="13"/>
    </row>
    <row r="26" spans="1:11">
      <c r="A26" s="1" t="s">
        <v>24</v>
      </c>
      <c r="B26" s="8"/>
      <c r="C26" s="1" t="s">
        <v>413</v>
      </c>
      <c r="D26" s="1" t="s">
        <v>414</v>
      </c>
      <c r="E26" s="10">
        <f>IFERROR(VLOOKUP(C26, [1]actualizado!A:B, 2, FALSE), E26)</f>
        <v>2370</v>
      </c>
      <c r="F26" s="11">
        <v>8</v>
      </c>
      <c r="G26" s="12">
        <f t="shared" si="0"/>
        <v>296.25</v>
      </c>
      <c r="H26" s="7"/>
      <c r="I26" s="7"/>
      <c r="J26" s="7"/>
      <c r="K26" s="13"/>
    </row>
    <row r="27" spans="1:11">
      <c r="A27" s="1" t="s">
        <v>25</v>
      </c>
      <c r="B27" s="8"/>
      <c r="C27" s="1" t="s">
        <v>413</v>
      </c>
      <c r="D27" s="1" t="s">
        <v>414</v>
      </c>
      <c r="E27" s="10">
        <f>IFERROR(VLOOKUP(C27, [1]actualizado!A:B, 2, FALSE), E27)</f>
        <v>2370</v>
      </c>
      <c r="F27" s="11">
        <v>8</v>
      </c>
      <c r="G27" s="12">
        <f t="shared" si="0"/>
        <v>296.25</v>
      </c>
      <c r="H27" s="7"/>
      <c r="I27" s="7"/>
      <c r="J27" s="7"/>
      <c r="K27" s="13"/>
    </row>
    <row r="28" spans="1:11">
      <c r="A28" s="2" t="s">
        <v>26</v>
      </c>
      <c r="B28" s="8"/>
      <c r="C28" s="1" t="s">
        <v>413</v>
      </c>
      <c r="D28" s="1" t="s">
        <v>414</v>
      </c>
      <c r="E28" s="10">
        <f>IFERROR(VLOOKUP(C28, [1]actualizado!A:B, 2, FALSE), E28)</f>
        <v>2370</v>
      </c>
      <c r="F28" s="11">
        <v>1</v>
      </c>
      <c r="G28" s="12">
        <f t="shared" si="0"/>
        <v>2370</v>
      </c>
      <c r="H28" s="7" t="s">
        <v>418</v>
      </c>
      <c r="I28" s="7" t="s">
        <v>416</v>
      </c>
      <c r="J28" s="7"/>
      <c r="K28" s="13" t="e">
        <f t="shared" ref="K28:K31" ca="1" si="3">_xludf.IFS(H28="SI",J28/F28,H28="NO",1)</f>
        <v>#NAME?</v>
      </c>
    </row>
    <row r="29" spans="1:11">
      <c r="A29" s="2" t="s">
        <v>27</v>
      </c>
      <c r="B29" s="8"/>
      <c r="C29" s="1" t="s">
        <v>413</v>
      </c>
      <c r="D29" s="1" t="s">
        <v>414</v>
      </c>
      <c r="E29" s="10">
        <f>IFERROR(VLOOKUP(C29, [1]actualizado!A:B, 2, FALSE), E29)</f>
        <v>2370</v>
      </c>
      <c r="F29" s="11">
        <v>1</v>
      </c>
      <c r="G29" s="12">
        <f t="shared" si="0"/>
        <v>2370</v>
      </c>
      <c r="H29" s="7" t="s">
        <v>415</v>
      </c>
      <c r="I29" s="7" t="s">
        <v>416</v>
      </c>
      <c r="J29" s="7"/>
      <c r="K29" s="13" t="e">
        <f t="shared" ca="1" si="3"/>
        <v>#NAME?</v>
      </c>
    </row>
    <row r="30" spans="1:11">
      <c r="A30" s="2" t="s">
        <v>28</v>
      </c>
      <c r="B30" s="8"/>
      <c r="C30" s="1" t="s">
        <v>413</v>
      </c>
      <c r="D30" s="1" t="s">
        <v>414</v>
      </c>
      <c r="E30" s="10">
        <f>IFERROR(VLOOKUP(C30, [1]actualizado!A:B, 2, FALSE), E30)</f>
        <v>2370</v>
      </c>
      <c r="F30" s="11">
        <v>10</v>
      </c>
      <c r="G30" s="12">
        <f t="shared" si="0"/>
        <v>237</v>
      </c>
      <c r="H30" s="7" t="s">
        <v>415</v>
      </c>
      <c r="I30" s="7" t="s">
        <v>416</v>
      </c>
      <c r="J30" s="7"/>
      <c r="K30" s="13" t="e">
        <f t="shared" ca="1" si="3"/>
        <v>#NAME?</v>
      </c>
    </row>
    <row r="31" spans="1:11">
      <c r="A31" s="2" t="s">
        <v>29</v>
      </c>
      <c r="B31" s="8"/>
      <c r="C31" s="1" t="s">
        <v>413</v>
      </c>
      <c r="D31" s="1" t="s">
        <v>414</v>
      </c>
      <c r="E31" s="10">
        <f>IFERROR(VLOOKUP(C31, [1]actualizado!A:B, 2, FALSE), E31)</f>
        <v>2370</v>
      </c>
      <c r="F31" s="11">
        <v>10</v>
      </c>
      <c r="G31" s="12">
        <f t="shared" si="0"/>
        <v>237</v>
      </c>
      <c r="H31" s="7" t="s">
        <v>415</v>
      </c>
      <c r="I31" s="7" t="s">
        <v>416</v>
      </c>
      <c r="J31" s="7"/>
      <c r="K31" s="13" t="e">
        <f t="shared" ca="1" si="3"/>
        <v>#NAME?</v>
      </c>
    </row>
    <row r="32" spans="1:11">
      <c r="A32" s="2" t="s">
        <v>30</v>
      </c>
      <c r="B32" s="8"/>
      <c r="C32" s="1" t="s">
        <v>413</v>
      </c>
      <c r="D32" s="1" t="s">
        <v>414</v>
      </c>
      <c r="E32" s="10">
        <f>IFERROR(VLOOKUP(C32, [1]actualizado!A:B, 2, FALSE), E32)</f>
        <v>2370</v>
      </c>
      <c r="F32" s="11">
        <v>10</v>
      </c>
      <c r="G32" s="12">
        <f t="shared" si="0"/>
        <v>237</v>
      </c>
      <c r="H32" s="7"/>
      <c r="I32" s="7"/>
      <c r="J32" s="7"/>
      <c r="K32" s="13"/>
    </row>
    <row r="33" spans="1:11">
      <c r="A33" s="1" t="s">
        <v>31</v>
      </c>
      <c r="B33" s="8"/>
      <c r="C33" s="1" t="s">
        <v>413</v>
      </c>
      <c r="D33" s="1" t="s">
        <v>414</v>
      </c>
      <c r="E33" s="10">
        <f>IFERROR(VLOOKUP(C33, [1]actualizado!A:B, 2, FALSE), E33)</f>
        <v>2370</v>
      </c>
      <c r="F33" s="11">
        <v>10</v>
      </c>
      <c r="G33" s="12">
        <f t="shared" si="0"/>
        <v>237</v>
      </c>
      <c r="H33" s="7"/>
      <c r="I33" s="7"/>
      <c r="J33" s="7"/>
      <c r="K33" s="13"/>
    </row>
    <row r="34" spans="1:11">
      <c r="A34" s="1" t="s">
        <v>32</v>
      </c>
      <c r="B34" s="8"/>
      <c r="C34" s="1" t="s">
        <v>413</v>
      </c>
      <c r="D34" s="1" t="s">
        <v>414</v>
      </c>
      <c r="E34" s="10">
        <f>IFERROR(VLOOKUP(C34, [1]actualizado!A:B, 2, FALSE), E34)</f>
        <v>2370</v>
      </c>
      <c r="F34" s="11">
        <v>12</v>
      </c>
      <c r="G34" s="12">
        <f t="shared" si="0"/>
        <v>197.5</v>
      </c>
      <c r="H34" s="7"/>
      <c r="I34" s="7"/>
      <c r="J34" s="7"/>
      <c r="K34" s="13"/>
    </row>
    <row r="35" spans="1:11">
      <c r="A35" s="1" t="s">
        <v>33</v>
      </c>
      <c r="B35" s="8"/>
      <c r="C35" s="1" t="s">
        <v>413</v>
      </c>
      <c r="D35" s="1" t="s">
        <v>414</v>
      </c>
      <c r="E35" s="10">
        <f>IFERROR(VLOOKUP(C35, [1]actualizado!A:B, 2, FALSE), E35)</f>
        <v>2370</v>
      </c>
      <c r="F35" s="11">
        <v>1</v>
      </c>
      <c r="G35" s="12">
        <f t="shared" si="0"/>
        <v>2370</v>
      </c>
      <c r="H35" s="7"/>
      <c r="I35" s="7"/>
      <c r="J35" s="7"/>
      <c r="K35" s="13"/>
    </row>
    <row r="36" spans="1:11">
      <c r="A36" s="1" t="s">
        <v>34</v>
      </c>
      <c r="B36" s="8"/>
      <c r="C36" s="1" t="s">
        <v>413</v>
      </c>
      <c r="D36" s="1" t="s">
        <v>414</v>
      </c>
      <c r="E36" s="10">
        <f>IFERROR(VLOOKUP(C36, [1]actualizado!A:B, 2, FALSE), E36)</f>
        <v>2370</v>
      </c>
      <c r="F36" s="11">
        <v>8</v>
      </c>
      <c r="G36" s="12">
        <f t="shared" si="0"/>
        <v>296.25</v>
      </c>
      <c r="H36" s="7"/>
      <c r="I36" s="7"/>
      <c r="J36" s="7"/>
      <c r="K36" s="13"/>
    </row>
    <row r="37" spans="1:11">
      <c r="A37" s="1" t="s">
        <v>35</v>
      </c>
      <c r="B37" s="8"/>
      <c r="C37" s="1" t="s">
        <v>413</v>
      </c>
      <c r="D37" s="1" t="s">
        <v>414</v>
      </c>
      <c r="E37" s="10">
        <f>IFERROR(VLOOKUP(C37, [1]actualizado!A:B, 2, FALSE), E37)</f>
        <v>2370</v>
      </c>
      <c r="F37" s="11">
        <v>18</v>
      </c>
      <c r="G37" s="12">
        <f t="shared" si="0"/>
        <v>131.66666666666666</v>
      </c>
      <c r="H37" s="7"/>
      <c r="I37" s="7"/>
      <c r="J37" s="7"/>
      <c r="K37" s="13"/>
    </row>
    <row r="38" spans="1:11">
      <c r="A38" s="1" t="s">
        <v>36</v>
      </c>
      <c r="B38" s="8"/>
      <c r="C38" s="1" t="s">
        <v>413</v>
      </c>
      <c r="D38" s="1" t="s">
        <v>414</v>
      </c>
      <c r="E38" s="10">
        <f>IFERROR(VLOOKUP(C38, [1]actualizado!A:B, 2, FALSE), E38)</f>
        <v>2370</v>
      </c>
      <c r="F38" s="11">
        <v>8</v>
      </c>
      <c r="G38" s="12">
        <f t="shared" si="0"/>
        <v>296.25</v>
      </c>
      <c r="H38" s="7"/>
      <c r="I38" s="7"/>
      <c r="J38" s="7"/>
      <c r="K38" s="13"/>
    </row>
    <row r="39" spans="1:11">
      <c r="A39" s="1" t="s">
        <v>37</v>
      </c>
      <c r="B39" s="8"/>
      <c r="C39" s="1" t="s">
        <v>413</v>
      </c>
      <c r="D39" s="1" t="s">
        <v>414</v>
      </c>
      <c r="E39" s="10">
        <f>IFERROR(VLOOKUP(C39, [1]actualizado!A:B, 2, FALSE), E39)</f>
        <v>2370</v>
      </c>
      <c r="F39" s="11">
        <v>12</v>
      </c>
      <c r="G39" s="12">
        <f t="shared" si="0"/>
        <v>197.5</v>
      </c>
      <c r="H39" s="7" t="s">
        <v>415</v>
      </c>
      <c r="I39" s="7" t="s">
        <v>416</v>
      </c>
      <c r="J39" s="7"/>
      <c r="K39" s="13" t="e">
        <f ca="1">_xludf.IFS(H39="SI",J39/F39,H39="NO",1)</f>
        <v>#NAME?</v>
      </c>
    </row>
    <row r="40" spans="1:11">
      <c r="A40" s="1" t="s">
        <v>38</v>
      </c>
      <c r="B40" s="8"/>
      <c r="C40" s="1" t="s">
        <v>413</v>
      </c>
      <c r="D40" s="1" t="s">
        <v>414</v>
      </c>
      <c r="E40" s="10">
        <f>IFERROR(VLOOKUP(C40, [1]actualizado!A:B, 2, FALSE), E40)</f>
        <v>2370</v>
      </c>
      <c r="F40" s="11">
        <v>12</v>
      </c>
      <c r="G40" s="12">
        <f t="shared" si="0"/>
        <v>197.5</v>
      </c>
      <c r="H40" s="7"/>
      <c r="I40" s="7"/>
      <c r="J40" s="7"/>
      <c r="K40" s="13"/>
    </row>
    <row r="41" spans="1:11">
      <c r="A41" s="2" t="s">
        <v>39</v>
      </c>
      <c r="B41" s="8"/>
      <c r="C41" s="1" t="s">
        <v>413</v>
      </c>
      <c r="D41" s="1" t="s">
        <v>414</v>
      </c>
      <c r="E41" s="10">
        <f>IFERROR(VLOOKUP(C41, [1]actualizado!A:B, 2, FALSE), E41)</f>
        <v>2370</v>
      </c>
      <c r="F41" s="11">
        <v>12</v>
      </c>
      <c r="G41" s="12">
        <f t="shared" si="0"/>
        <v>197.5</v>
      </c>
      <c r="H41" s="7" t="s">
        <v>415</v>
      </c>
      <c r="I41" s="7" t="s">
        <v>416</v>
      </c>
      <c r="J41" s="7"/>
      <c r="K41" s="13" t="e">
        <f t="shared" ref="K41:K42" ca="1" si="4">_xludf.IFS(H41="SI",J41/F41,H41="NO",1)</f>
        <v>#NAME?</v>
      </c>
    </row>
    <row r="42" spans="1:11">
      <c r="A42" s="2" t="s">
        <v>40</v>
      </c>
      <c r="B42" s="8"/>
      <c r="C42" s="1" t="s">
        <v>413</v>
      </c>
      <c r="D42" s="1" t="s">
        <v>414</v>
      </c>
      <c r="E42" s="10">
        <f>IFERROR(VLOOKUP(C42, [1]actualizado!A:B, 2, FALSE), E42)</f>
        <v>2370</v>
      </c>
      <c r="F42" s="11">
        <v>18</v>
      </c>
      <c r="G42" s="12">
        <f t="shared" si="0"/>
        <v>131.66666666666666</v>
      </c>
      <c r="H42" s="7" t="s">
        <v>415</v>
      </c>
      <c r="I42" s="7" t="s">
        <v>416</v>
      </c>
      <c r="J42" s="7"/>
      <c r="K42" s="13" t="e">
        <f t="shared" ca="1" si="4"/>
        <v>#NAME?</v>
      </c>
    </row>
    <row r="43" spans="1:11">
      <c r="A43" s="2" t="s">
        <v>41</v>
      </c>
      <c r="B43" s="8"/>
      <c r="C43" s="1" t="s">
        <v>413</v>
      </c>
      <c r="D43" s="1" t="s">
        <v>414</v>
      </c>
      <c r="E43" s="10">
        <f>IFERROR(VLOOKUP(C43, [1]actualizado!A:B, 2, FALSE), E43)</f>
        <v>2370</v>
      </c>
      <c r="F43" s="11">
        <v>8</v>
      </c>
      <c r="G43" s="12">
        <f t="shared" si="0"/>
        <v>296.25</v>
      </c>
      <c r="H43" s="7"/>
      <c r="I43" s="7"/>
      <c r="J43" s="7"/>
      <c r="K43" s="13"/>
    </row>
    <row r="44" spans="1:11">
      <c r="A44" s="3" t="s">
        <v>42</v>
      </c>
      <c r="B44" s="8"/>
      <c r="C44" s="1" t="s">
        <v>413</v>
      </c>
      <c r="D44" s="1" t="s">
        <v>414</v>
      </c>
      <c r="E44" s="10">
        <f>IFERROR(VLOOKUP(C44, [1]actualizado!A:B, 2, FALSE), E44)</f>
        <v>2370</v>
      </c>
      <c r="F44" s="11">
        <v>1</v>
      </c>
      <c r="G44" s="12">
        <f t="shared" si="0"/>
        <v>2370</v>
      </c>
      <c r="H44" s="7"/>
      <c r="I44" s="7"/>
      <c r="J44" s="7"/>
      <c r="K44" s="13"/>
    </row>
    <row r="45" spans="1:11">
      <c r="A45" s="3" t="s">
        <v>43</v>
      </c>
      <c r="B45" s="8"/>
      <c r="C45" s="1" t="s">
        <v>413</v>
      </c>
      <c r="D45" s="1" t="s">
        <v>414</v>
      </c>
      <c r="E45" s="10">
        <f>IFERROR(VLOOKUP(C45, [1]actualizado!A:B, 2, FALSE), E45)</f>
        <v>2370</v>
      </c>
      <c r="F45" s="11">
        <v>1</v>
      </c>
      <c r="G45" s="12">
        <f t="shared" si="0"/>
        <v>2370</v>
      </c>
      <c r="H45" s="7"/>
      <c r="I45" s="7"/>
      <c r="J45" s="7"/>
      <c r="K45" s="13"/>
    </row>
    <row r="46" spans="1:11">
      <c r="A46" s="3" t="s">
        <v>44</v>
      </c>
      <c r="B46" s="8"/>
      <c r="C46" s="1" t="s">
        <v>413</v>
      </c>
      <c r="D46" s="1" t="s">
        <v>414</v>
      </c>
      <c r="E46" s="10">
        <f>IFERROR(VLOOKUP(C46, [1]actualizado!A:B, 2, FALSE), E46)</f>
        <v>2370</v>
      </c>
      <c r="F46" s="11">
        <v>1</v>
      </c>
      <c r="G46" s="12">
        <f t="shared" si="0"/>
        <v>2370</v>
      </c>
      <c r="H46" s="7"/>
      <c r="I46" s="7"/>
      <c r="J46" s="7"/>
      <c r="K46" s="13" t="e">
        <f t="shared" ref="K46:K50" ca="1" si="5">_xludf.IFS(H46="SI",J46/F46,H46="NO",1)</f>
        <v>#NAME?</v>
      </c>
    </row>
    <row r="47" spans="1:11">
      <c r="A47" s="3" t="s">
        <v>45</v>
      </c>
      <c r="B47" s="8"/>
      <c r="C47" s="1" t="s">
        <v>413</v>
      </c>
      <c r="D47" s="1" t="s">
        <v>414</v>
      </c>
      <c r="E47" s="10">
        <f>IFERROR(VLOOKUP(C47, [1]actualizado!A:B, 2, FALSE), E47)</f>
        <v>2370</v>
      </c>
      <c r="F47" s="11">
        <v>15</v>
      </c>
      <c r="G47" s="12">
        <f t="shared" si="0"/>
        <v>158</v>
      </c>
      <c r="H47" s="7"/>
      <c r="I47" s="7"/>
      <c r="J47" s="7"/>
      <c r="K47" s="13" t="e">
        <f t="shared" ca="1" si="5"/>
        <v>#NAME?</v>
      </c>
    </row>
    <row r="48" spans="1:11">
      <c r="A48" s="2" t="s">
        <v>46</v>
      </c>
      <c r="B48" s="8"/>
      <c r="C48" s="1" t="s">
        <v>413</v>
      </c>
      <c r="D48" s="1" t="s">
        <v>414</v>
      </c>
      <c r="E48" s="10">
        <f>IFERROR(VLOOKUP(C48, [1]actualizado!A:B, 2, FALSE), E48)</f>
        <v>2370</v>
      </c>
      <c r="F48" s="11">
        <v>1</v>
      </c>
      <c r="G48" s="12">
        <f t="shared" si="0"/>
        <v>2370</v>
      </c>
      <c r="H48" s="7" t="s">
        <v>418</v>
      </c>
      <c r="I48" s="7" t="s">
        <v>416</v>
      </c>
      <c r="J48" s="7"/>
      <c r="K48" s="13" t="e">
        <f t="shared" ca="1" si="5"/>
        <v>#NAME?</v>
      </c>
    </row>
    <row r="49" spans="1:11">
      <c r="A49" s="2" t="s">
        <v>47</v>
      </c>
      <c r="B49" s="8"/>
      <c r="C49" s="1" t="s">
        <v>413</v>
      </c>
      <c r="D49" s="1" t="s">
        <v>414</v>
      </c>
      <c r="E49" s="10">
        <f>IFERROR(VLOOKUP(C49, [1]actualizado!A:B, 2, FALSE), E49)</f>
        <v>2370</v>
      </c>
      <c r="F49" s="11">
        <v>1</v>
      </c>
      <c r="G49" s="12">
        <f t="shared" si="0"/>
        <v>2370</v>
      </c>
      <c r="H49" s="7"/>
      <c r="I49" s="7"/>
      <c r="J49" s="7"/>
      <c r="K49" s="13" t="e">
        <f t="shared" ca="1" si="5"/>
        <v>#NAME?</v>
      </c>
    </row>
    <row r="50" spans="1:11">
      <c r="A50" s="3" t="s">
        <v>48</v>
      </c>
      <c r="B50" s="8"/>
      <c r="C50" s="1" t="s">
        <v>413</v>
      </c>
      <c r="D50" s="1" t="s">
        <v>419</v>
      </c>
      <c r="E50" s="10">
        <f>IFERROR(VLOOKUP(C50, [1]actualizado!A:B, 2, FALSE), E50)</f>
        <v>2370</v>
      </c>
      <c r="F50" s="11">
        <v>8</v>
      </c>
      <c r="G50" s="12">
        <f t="shared" si="0"/>
        <v>296.25</v>
      </c>
      <c r="H50" s="7"/>
      <c r="I50" s="7"/>
      <c r="J50" s="7"/>
      <c r="K50" s="13" t="e">
        <f t="shared" ca="1" si="5"/>
        <v>#NAME?</v>
      </c>
    </row>
    <row r="51" spans="1:11">
      <c r="A51" s="3" t="s">
        <v>49</v>
      </c>
      <c r="B51" s="8"/>
      <c r="C51" s="1" t="s">
        <v>413</v>
      </c>
      <c r="D51" s="1" t="s">
        <v>419</v>
      </c>
      <c r="E51" s="10">
        <f>IFERROR(VLOOKUP(C51, [1]actualizado!A:B, 2, FALSE), E51)</f>
        <v>2370</v>
      </c>
      <c r="F51" s="11">
        <v>12</v>
      </c>
      <c r="G51" s="12">
        <f t="shared" si="0"/>
        <v>197.5</v>
      </c>
      <c r="H51" s="7"/>
      <c r="I51" s="7"/>
      <c r="J51" s="7"/>
      <c r="K51" s="13"/>
    </row>
    <row r="52" spans="1:11">
      <c r="A52" s="1" t="s">
        <v>50</v>
      </c>
      <c r="B52" s="8"/>
      <c r="C52" s="1" t="s">
        <v>413</v>
      </c>
      <c r="D52" s="1" t="s">
        <v>419</v>
      </c>
      <c r="E52" s="10">
        <f>IFERROR(VLOOKUP(C52, [1]actualizado!A:B, 2, FALSE), E52)</f>
        <v>2370</v>
      </c>
      <c r="F52" s="11">
        <v>12</v>
      </c>
      <c r="G52" s="12">
        <f t="shared" si="0"/>
        <v>197.5</v>
      </c>
      <c r="H52" s="7" t="s">
        <v>415</v>
      </c>
      <c r="I52" s="7" t="s">
        <v>416</v>
      </c>
      <c r="J52" s="7">
        <v>2844</v>
      </c>
      <c r="K52" s="13" t="e">
        <f t="shared" ref="K52:K54" ca="1" si="6">_xludf.IFS(H52="SI",J52/F52,H52="NO",1)</f>
        <v>#NAME?</v>
      </c>
    </row>
    <row r="53" spans="1:11">
      <c r="A53" s="2" t="s">
        <v>51</v>
      </c>
      <c r="B53" s="8"/>
      <c r="C53" s="1" t="s">
        <v>413</v>
      </c>
      <c r="D53" s="1" t="s">
        <v>420</v>
      </c>
      <c r="E53" s="10">
        <f>IFERROR(VLOOKUP(C53, [1]actualizado!A:B, 2, FALSE), E53)</f>
        <v>2370</v>
      </c>
      <c r="F53" s="11">
        <v>24</v>
      </c>
      <c r="G53" s="12">
        <f t="shared" si="0"/>
        <v>98.75</v>
      </c>
      <c r="H53" s="7" t="s">
        <v>415</v>
      </c>
      <c r="I53" s="7" t="s">
        <v>416</v>
      </c>
      <c r="J53" s="7">
        <v>2360</v>
      </c>
      <c r="K53" s="13" t="e">
        <f t="shared" ca="1" si="6"/>
        <v>#NAME?</v>
      </c>
    </row>
    <row r="54" spans="1:11">
      <c r="A54" s="2" t="s">
        <v>52</v>
      </c>
      <c r="B54" s="8"/>
      <c r="C54" s="1" t="s">
        <v>413</v>
      </c>
      <c r="D54" s="1" t="s">
        <v>420</v>
      </c>
      <c r="E54" s="10">
        <f>IFERROR(VLOOKUP(C54, [1]actualizado!A:B, 2, FALSE), E54)</f>
        <v>2370</v>
      </c>
      <c r="F54" s="11">
        <v>20</v>
      </c>
      <c r="G54" s="12">
        <f t="shared" si="0"/>
        <v>118.5</v>
      </c>
      <c r="H54" s="7"/>
      <c r="I54" s="7"/>
      <c r="J54" s="7"/>
      <c r="K54" s="13" t="e">
        <f t="shared" ca="1" si="6"/>
        <v>#NAME?</v>
      </c>
    </row>
    <row r="55" spans="1:11">
      <c r="A55" s="1" t="s">
        <v>53</v>
      </c>
      <c r="B55" s="8"/>
      <c r="C55" s="1" t="s">
        <v>413</v>
      </c>
      <c r="D55" s="1" t="s">
        <v>421</v>
      </c>
      <c r="E55" s="10">
        <f>IFERROR(VLOOKUP(C55, [1]actualizado!A:B, 2, FALSE), E55)</f>
        <v>2370</v>
      </c>
      <c r="F55" s="11">
        <v>1</v>
      </c>
      <c r="G55" s="12">
        <f t="shared" si="0"/>
        <v>2370</v>
      </c>
      <c r="H55" s="7"/>
      <c r="I55" s="7"/>
      <c r="J55" s="7"/>
      <c r="K55" s="13"/>
    </row>
    <row r="56" spans="1:11">
      <c r="A56" s="1" t="s">
        <v>54</v>
      </c>
      <c r="B56" s="8"/>
      <c r="C56" s="1" t="s">
        <v>413</v>
      </c>
      <c r="D56" s="1" t="s">
        <v>421</v>
      </c>
      <c r="E56" s="10">
        <f>IFERROR(VLOOKUP(C56, [1]actualizado!A:B, 2, FALSE), E56)</f>
        <v>2370</v>
      </c>
      <c r="F56" s="11">
        <v>1</v>
      </c>
      <c r="G56" s="12">
        <f t="shared" si="0"/>
        <v>2370</v>
      </c>
      <c r="H56" s="7" t="s">
        <v>415</v>
      </c>
      <c r="I56" s="7" t="s">
        <v>416</v>
      </c>
      <c r="J56" s="7"/>
      <c r="K56" s="13" t="e">
        <f ca="1">_xludf.IFS(H56="SI",J56/F56,H56="NO",1)</f>
        <v>#NAME?</v>
      </c>
    </row>
    <row r="57" spans="1:11">
      <c r="A57" s="1" t="s">
        <v>55</v>
      </c>
      <c r="B57" s="8"/>
      <c r="C57" s="1" t="s">
        <v>413</v>
      </c>
      <c r="D57" s="1" t="s">
        <v>421</v>
      </c>
      <c r="E57" s="10">
        <f>IFERROR(VLOOKUP(C57, [1]actualizado!A:B, 2, FALSE), E57)</f>
        <v>2370</v>
      </c>
      <c r="F57" s="11">
        <v>1</v>
      </c>
      <c r="G57" s="12">
        <f t="shared" si="0"/>
        <v>2370</v>
      </c>
      <c r="H57" s="7"/>
      <c r="I57" s="7"/>
      <c r="J57" s="7"/>
      <c r="K57" s="13"/>
    </row>
    <row r="58" spans="1:11">
      <c r="A58" s="1" t="s">
        <v>56</v>
      </c>
      <c r="B58" s="8"/>
      <c r="C58" s="1" t="s">
        <v>413</v>
      </c>
      <c r="D58" s="1" t="s">
        <v>421</v>
      </c>
      <c r="E58" s="10">
        <f>IFERROR(VLOOKUP(C58, [1]actualizado!A:B, 2, FALSE), E58)</f>
        <v>2370</v>
      </c>
      <c r="F58" s="11">
        <v>1</v>
      </c>
      <c r="G58" s="12">
        <f t="shared" si="0"/>
        <v>2370</v>
      </c>
      <c r="H58" s="7"/>
      <c r="I58" s="7"/>
      <c r="J58" s="7"/>
      <c r="K58" s="13"/>
    </row>
    <row r="59" spans="1:11">
      <c r="A59" s="1" t="s">
        <v>57</v>
      </c>
      <c r="B59" s="8"/>
      <c r="C59" s="1" t="s">
        <v>413</v>
      </c>
      <c r="D59" s="1" t="s">
        <v>421</v>
      </c>
      <c r="E59" s="10">
        <f>IFERROR(VLOOKUP(C59, [1]actualizado!A:B, 2, FALSE), E59)</f>
        <v>2370</v>
      </c>
      <c r="F59" s="11">
        <v>1</v>
      </c>
      <c r="G59" s="12">
        <f t="shared" si="0"/>
        <v>2370</v>
      </c>
      <c r="H59" s="7"/>
      <c r="I59" s="7"/>
      <c r="J59" s="7"/>
      <c r="K59" s="13"/>
    </row>
    <row r="60" spans="1:11">
      <c r="A60" s="1" t="s">
        <v>58</v>
      </c>
      <c r="B60" s="8"/>
      <c r="C60" s="1" t="s">
        <v>413</v>
      </c>
      <c r="D60" s="1" t="s">
        <v>421</v>
      </c>
      <c r="E60" s="10">
        <f>IFERROR(VLOOKUP(C60, [1]actualizado!A:B, 2, FALSE), E60)</f>
        <v>2370</v>
      </c>
      <c r="F60" s="11">
        <v>1</v>
      </c>
      <c r="G60" s="12">
        <f t="shared" si="0"/>
        <v>2370</v>
      </c>
      <c r="H60" s="7"/>
      <c r="I60" s="7"/>
      <c r="J60" s="7"/>
      <c r="K60" s="13"/>
    </row>
    <row r="61" spans="1:11">
      <c r="A61" s="1" t="s">
        <v>59</v>
      </c>
      <c r="B61" s="8"/>
      <c r="C61" s="1" t="s">
        <v>413</v>
      </c>
      <c r="D61" s="1" t="s">
        <v>421</v>
      </c>
      <c r="E61" s="10">
        <f>IFERROR(VLOOKUP(C61, [1]actualizado!A:B, 2, FALSE), E61)</f>
        <v>2370</v>
      </c>
      <c r="F61" s="11"/>
      <c r="G61" s="12"/>
      <c r="H61" s="7"/>
      <c r="I61" s="7"/>
      <c r="J61" s="7"/>
      <c r="K61" s="13"/>
    </row>
    <row r="62" spans="1:11">
      <c r="A62" s="1" t="s">
        <v>60</v>
      </c>
      <c r="B62" s="8"/>
      <c r="C62" s="1" t="s">
        <v>413</v>
      </c>
      <c r="D62" s="1" t="s">
        <v>421</v>
      </c>
      <c r="E62" s="10">
        <f>IFERROR(VLOOKUP(C62, [1]actualizado!A:B, 2, FALSE), E62)</f>
        <v>2370</v>
      </c>
      <c r="F62" s="11">
        <v>1</v>
      </c>
      <c r="G62" s="12">
        <f t="shared" ref="G62:G94" si="7">E62/F62</f>
        <v>2370</v>
      </c>
      <c r="H62" s="7"/>
      <c r="I62" s="7"/>
      <c r="J62" s="7"/>
      <c r="K62" s="13"/>
    </row>
    <row r="63" spans="1:11">
      <c r="A63" s="1" t="s">
        <v>61</v>
      </c>
      <c r="B63" s="8"/>
      <c r="C63" s="1" t="s">
        <v>413</v>
      </c>
      <c r="D63" s="1" t="s">
        <v>421</v>
      </c>
      <c r="E63" s="10">
        <f>IFERROR(VLOOKUP(C63, [1]actualizado!A:B, 2, FALSE), E63)</f>
        <v>2370</v>
      </c>
      <c r="F63" s="11">
        <v>1</v>
      </c>
      <c r="G63" s="12">
        <f t="shared" si="7"/>
        <v>2370</v>
      </c>
      <c r="H63" s="7"/>
      <c r="I63" s="7"/>
      <c r="J63" s="7"/>
      <c r="K63" s="13"/>
    </row>
    <row r="64" spans="1:11">
      <c r="A64" s="1" t="s">
        <v>62</v>
      </c>
      <c r="B64" s="8"/>
      <c r="C64" s="1" t="s">
        <v>413</v>
      </c>
      <c r="D64" s="1" t="s">
        <v>421</v>
      </c>
      <c r="E64" s="10">
        <f>IFERROR(VLOOKUP(C64, [1]actualizado!A:B, 2, FALSE), E64)</f>
        <v>2370</v>
      </c>
      <c r="F64" s="11">
        <v>1</v>
      </c>
      <c r="G64" s="12">
        <f t="shared" si="7"/>
        <v>2370</v>
      </c>
      <c r="H64" s="7"/>
      <c r="I64" s="7"/>
      <c r="J64" s="7"/>
      <c r="K64" s="13"/>
    </row>
    <row r="65" spans="1:11">
      <c r="A65" s="1" t="s">
        <v>63</v>
      </c>
      <c r="B65" s="8"/>
      <c r="C65" s="1" t="s">
        <v>413</v>
      </c>
      <c r="D65" s="1" t="s">
        <v>421</v>
      </c>
      <c r="E65" s="10">
        <f>IFERROR(VLOOKUP(C65, [1]actualizado!A:B, 2, FALSE), E65)</f>
        <v>2370</v>
      </c>
      <c r="F65" s="11">
        <v>1</v>
      </c>
      <c r="G65" s="12">
        <f t="shared" si="7"/>
        <v>2370</v>
      </c>
      <c r="H65" s="7"/>
      <c r="I65" s="7"/>
      <c r="J65" s="7"/>
      <c r="K65" s="13"/>
    </row>
    <row r="66" spans="1:11">
      <c r="A66" s="2" t="s">
        <v>64</v>
      </c>
      <c r="B66" s="8"/>
      <c r="C66" s="1" t="s">
        <v>413</v>
      </c>
      <c r="D66" s="1" t="s">
        <v>422</v>
      </c>
      <c r="E66" s="10">
        <f>IFERROR(VLOOKUP(C66, [1]actualizado!A:B, 2, FALSE), E66)</f>
        <v>2370</v>
      </c>
      <c r="F66" s="11">
        <v>10</v>
      </c>
      <c r="G66" s="12">
        <f t="shared" si="7"/>
        <v>237</v>
      </c>
      <c r="H66" s="7" t="s">
        <v>415</v>
      </c>
      <c r="I66" s="7" t="s">
        <v>423</v>
      </c>
      <c r="J66" s="7">
        <v>9</v>
      </c>
      <c r="K66" s="13" t="e">
        <f ca="1">_xludf.IFS(H66="SI",J66/F66,H66="NO",1)</f>
        <v>#NAME?</v>
      </c>
    </row>
    <row r="67" spans="1:11">
      <c r="A67" s="1" t="s">
        <v>65</v>
      </c>
      <c r="B67" s="8"/>
      <c r="C67" s="1" t="s">
        <v>413</v>
      </c>
      <c r="D67" s="1" t="s">
        <v>422</v>
      </c>
      <c r="E67" s="10">
        <f>IFERROR(VLOOKUP(C67, [1]actualizado!A:B, 2, FALSE), E67)</f>
        <v>2370</v>
      </c>
      <c r="F67" s="11">
        <v>1</v>
      </c>
      <c r="G67" s="12">
        <f t="shared" si="7"/>
        <v>2370</v>
      </c>
      <c r="H67" s="7"/>
      <c r="I67" s="7"/>
      <c r="J67" s="7"/>
      <c r="K67" s="13"/>
    </row>
    <row r="68" spans="1:11">
      <c r="A68" s="1" t="s">
        <v>66</v>
      </c>
      <c r="B68" s="8"/>
      <c r="C68" s="1" t="s">
        <v>413</v>
      </c>
      <c r="D68" s="1" t="s">
        <v>422</v>
      </c>
      <c r="E68" s="10">
        <f>IFERROR(VLOOKUP(C68, [1]actualizado!A:B, 2, FALSE), E68)</f>
        <v>2370</v>
      </c>
      <c r="F68" s="11">
        <v>1</v>
      </c>
      <c r="G68" s="12">
        <f t="shared" si="7"/>
        <v>2370</v>
      </c>
      <c r="H68" s="7"/>
      <c r="I68" s="7"/>
      <c r="J68" s="7"/>
      <c r="K68" s="13"/>
    </row>
    <row r="69" spans="1:11">
      <c r="A69" s="1" t="s">
        <v>67</v>
      </c>
      <c r="B69" s="8"/>
      <c r="C69" s="1" t="s">
        <v>413</v>
      </c>
      <c r="D69" s="1" t="s">
        <v>422</v>
      </c>
      <c r="E69" s="10">
        <f>IFERROR(VLOOKUP(C69, [1]actualizado!A:B, 2, FALSE), E69)</f>
        <v>2370</v>
      </c>
      <c r="F69" s="11">
        <v>1</v>
      </c>
      <c r="G69" s="12">
        <f t="shared" si="7"/>
        <v>2370</v>
      </c>
      <c r="H69" s="7"/>
      <c r="I69" s="7"/>
      <c r="J69" s="7"/>
      <c r="K69" s="13"/>
    </row>
    <row r="70" spans="1:11">
      <c r="A70" s="4" t="s">
        <v>68</v>
      </c>
      <c r="B70" s="8"/>
      <c r="C70" s="1" t="s">
        <v>413</v>
      </c>
      <c r="D70" s="1" t="s">
        <v>422</v>
      </c>
      <c r="E70" s="10">
        <f>IFERROR(VLOOKUP(C70, [1]actualizado!A:B, 2, FALSE), E70)</f>
        <v>2370</v>
      </c>
      <c r="F70" s="11">
        <v>1</v>
      </c>
      <c r="G70" s="12">
        <f t="shared" si="7"/>
        <v>2370</v>
      </c>
      <c r="H70" s="7"/>
      <c r="I70" s="7"/>
      <c r="J70" s="7"/>
      <c r="K70" s="13"/>
    </row>
    <row r="71" spans="1:11">
      <c r="A71" s="2" t="s">
        <v>69</v>
      </c>
      <c r="B71" s="8"/>
      <c r="C71" s="1" t="s">
        <v>413</v>
      </c>
      <c r="D71" s="1" t="s">
        <v>424</v>
      </c>
      <c r="E71" s="10">
        <f>IFERROR(VLOOKUP(C71, [1]actualizado!A:B, 2, FALSE), E71)</f>
        <v>2370</v>
      </c>
      <c r="F71" s="11">
        <v>6</v>
      </c>
      <c r="G71" s="12">
        <f t="shared" si="7"/>
        <v>395</v>
      </c>
      <c r="H71" s="7" t="s">
        <v>415</v>
      </c>
      <c r="I71" s="7" t="s">
        <v>423</v>
      </c>
      <c r="J71" s="7">
        <v>9</v>
      </c>
      <c r="K71" s="13" t="e">
        <f t="shared" ref="K71:K88" ca="1" si="8">_xludf.IFS(H71="SI",J71/F71,H71="NO",1)</f>
        <v>#NAME?</v>
      </c>
    </row>
    <row r="72" spans="1:11">
      <c r="A72" s="2" t="s">
        <v>70</v>
      </c>
      <c r="B72" s="8"/>
      <c r="C72" s="1" t="s">
        <v>413</v>
      </c>
      <c r="D72" s="1" t="s">
        <v>424</v>
      </c>
      <c r="E72" s="10">
        <f>IFERROR(VLOOKUP(C72, [1]actualizado!A:B, 2, FALSE), E72)</f>
        <v>2370</v>
      </c>
      <c r="F72" s="11">
        <v>6</v>
      </c>
      <c r="G72" s="12">
        <f t="shared" si="7"/>
        <v>395</v>
      </c>
      <c r="H72" s="7" t="s">
        <v>415</v>
      </c>
      <c r="I72" s="7" t="s">
        <v>423</v>
      </c>
      <c r="J72" s="7">
        <v>9</v>
      </c>
      <c r="K72" s="13" t="e">
        <f t="shared" ca="1" si="8"/>
        <v>#NAME?</v>
      </c>
    </row>
    <row r="73" spans="1:11">
      <c r="A73" s="2" t="s">
        <v>71</v>
      </c>
      <c r="B73" s="8"/>
      <c r="C73" s="1" t="s">
        <v>413</v>
      </c>
      <c r="D73" s="1" t="s">
        <v>424</v>
      </c>
      <c r="E73" s="10">
        <f>IFERROR(VLOOKUP(C73, [1]actualizado!A:B, 2, FALSE), E73)</f>
        <v>2370</v>
      </c>
      <c r="F73" s="11">
        <v>6</v>
      </c>
      <c r="G73" s="12">
        <f t="shared" si="7"/>
        <v>395</v>
      </c>
      <c r="H73" s="7" t="s">
        <v>415</v>
      </c>
      <c r="I73" s="7" t="s">
        <v>423</v>
      </c>
      <c r="J73" s="7">
        <v>9</v>
      </c>
      <c r="K73" s="13" t="e">
        <f t="shared" ca="1" si="8"/>
        <v>#NAME?</v>
      </c>
    </row>
    <row r="74" spans="1:11">
      <c r="A74" s="2" t="s">
        <v>72</v>
      </c>
      <c r="B74" s="8"/>
      <c r="C74" s="1" t="s">
        <v>413</v>
      </c>
      <c r="D74" s="1" t="s">
        <v>424</v>
      </c>
      <c r="E74" s="10">
        <f>IFERROR(VLOOKUP(C74, [1]actualizado!A:B, 2, FALSE), E74)</f>
        <v>2370</v>
      </c>
      <c r="F74" s="11">
        <v>6</v>
      </c>
      <c r="G74" s="12">
        <f t="shared" si="7"/>
        <v>395</v>
      </c>
      <c r="H74" s="7" t="s">
        <v>415</v>
      </c>
      <c r="I74" s="7" t="s">
        <v>423</v>
      </c>
      <c r="J74" s="7">
        <v>9</v>
      </c>
      <c r="K74" s="13" t="e">
        <f t="shared" ca="1" si="8"/>
        <v>#NAME?</v>
      </c>
    </row>
    <row r="75" spans="1:11">
      <c r="A75" s="2" t="s">
        <v>73</v>
      </c>
      <c r="B75" s="8"/>
      <c r="C75" s="1" t="s">
        <v>413</v>
      </c>
      <c r="D75" s="1" t="s">
        <v>424</v>
      </c>
      <c r="E75" s="10">
        <f>IFERROR(VLOOKUP(C75, [1]actualizado!A:B, 2, FALSE), E75)</f>
        <v>2370</v>
      </c>
      <c r="F75" s="11">
        <v>6</v>
      </c>
      <c r="G75" s="12">
        <f t="shared" si="7"/>
        <v>395</v>
      </c>
      <c r="H75" s="7" t="s">
        <v>418</v>
      </c>
      <c r="I75" s="7" t="s">
        <v>416</v>
      </c>
      <c r="J75" s="7"/>
      <c r="K75" s="13" t="e">
        <f t="shared" ca="1" si="8"/>
        <v>#NAME?</v>
      </c>
    </row>
    <row r="76" spans="1:11">
      <c r="A76" s="2" t="s">
        <v>74</v>
      </c>
      <c r="B76" s="8"/>
      <c r="C76" s="1" t="s">
        <v>413</v>
      </c>
      <c r="D76" s="1" t="s">
        <v>425</v>
      </c>
      <c r="E76" s="10">
        <f>IFERROR(VLOOKUP(C76, [1]actualizado!A:B, 2, FALSE), E76)</f>
        <v>2370</v>
      </c>
      <c r="F76" s="11">
        <v>1</v>
      </c>
      <c r="G76" s="12">
        <f t="shared" si="7"/>
        <v>2370</v>
      </c>
      <c r="H76" s="7" t="s">
        <v>418</v>
      </c>
      <c r="I76" s="7" t="s">
        <v>416</v>
      </c>
      <c r="J76" s="7"/>
      <c r="K76" s="13" t="e">
        <f t="shared" ca="1" si="8"/>
        <v>#NAME?</v>
      </c>
    </row>
    <row r="77" spans="1:11">
      <c r="A77" s="2" t="s">
        <v>75</v>
      </c>
      <c r="B77" s="8"/>
      <c r="C77" s="1" t="s">
        <v>413</v>
      </c>
      <c r="D77" s="1" t="s">
        <v>425</v>
      </c>
      <c r="E77" s="10">
        <f>IFERROR(VLOOKUP(C77, [1]actualizado!A:B, 2, FALSE), E77)</f>
        <v>2370</v>
      </c>
      <c r="F77" s="11">
        <v>1</v>
      </c>
      <c r="G77" s="12">
        <f t="shared" si="7"/>
        <v>2370</v>
      </c>
      <c r="H77" s="7" t="s">
        <v>418</v>
      </c>
      <c r="I77" s="7" t="s">
        <v>416</v>
      </c>
      <c r="J77" s="7"/>
      <c r="K77" s="13" t="e">
        <f t="shared" ca="1" si="8"/>
        <v>#NAME?</v>
      </c>
    </row>
    <row r="78" spans="1:11">
      <c r="A78" s="2" t="s">
        <v>76</v>
      </c>
      <c r="B78" s="8"/>
      <c r="C78" s="1" t="s">
        <v>413</v>
      </c>
      <c r="D78" s="1" t="s">
        <v>425</v>
      </c>
      <c r="E78" s="10">
        <f>IFERROR(VLOOKUP(C78, [1]actualizado!A:B, 2, FALSE), E78)</f>
        <v>2370</v>
      </c>
      <c r="F78" s="11">
        <v>1</v>
      </c>
      <c r="G78" s="12">
        <f t="shared" si="7"/>
        <v>2370</v>
      </c>
      <c r="H78" s="7" t="s">
        <v>418</v>
      </c>
      <c r="I78" s="7" t="s">
        <v>416</v>
      </c>
      <c r="J78" s="7"/>
      <c r="K78" s="13" t="e">
        <f t="shared" ca="1" si="8"/>
        <v>#NAME?</v>
      </c>
    </row>
    <row r="79" spans="1:11">
      <c r="A79" s="2" t="s">
        <v>77</v>
      </c>
      <c r="B79" s="8"/>
      <c r="C79" s="1" t="s">
        <v>413</v>
      </c>
      <c r="D79" s="1" t="s">
        <v>425</v>
      </c>
      <c r="E79" s="10">
        <f>IFERROR(VLOOKUP(C79, [1]actualizado!A:B, 2, FALSE), E79)</f>
        <v>2370</v>
      </c>
      <c r="F79" s="11">
        <v>1</v>
      </c>
      <c r="G79" s="12">
        <f t="shared" si="7"/>
        <v>2370</v>
      </c>
      <c r="H79" s="7" t="s">
        <v>418</v>
      </c>
      <c r="I79" s="7" t="s">
        <v>416</v>
      </c>
      <c r="J79" s="7"/>
      <c r="K79" s="13" t="e">
        <f t="shared" ca="1" si="8"/>
        <v>#NAME?</v>
      </c>
    </row>
    <row r="80" spans="1:11">
      <c r="A80" s="2" t="s">
        <v>78</v>
      </c>
      <c r="B80" s="8"/>
      <c r="C80" s="1" t="s">
        <v>413</v>
      </c>
      <c r="D80" s="1" t="s">
        <v>425</v>
      </c>
      <c r="E80" s="10">
        <f>IFERROR(VLOOKUP(C80, [1]actualizado!A:B, 2, FALSE), E80)</f>
        <v>2370</v>
      </c>
      <c r="F80" s="11">
        <v>1</v>
      </c>
      <c r="G80" s="12">
        <f t="shared" si="7"/>
        <v>2370</v>
      </c>
      <c r="H80" s="7" t="s">
        <v>418</v>
      </c>
      <c r="I80" s="7" t="s">
        <v>416</v>
      </c>
      <c r="J80" s="7"/>
      <c r="K80" s="13" t="e">
        <f t="shared" ca="1" si="8"/>
        <v>#NAME?</v>
      </c>
    </row>
    <row r="81" spans="1:11">
      <c r="A81" s="2" t="s">
        <v>79</v>
      </c>
      <c r="B81" s="8"/>
      <c r="C81" s="1" t="s">
        <v>413</v>
      </c>
      <c r="D81" s="1" t="s">
        <v>425</v>
      </c>
      <c r="E81" s="10">
        <f>IFERROR(VLOOKUP(C81, [1]actualizado!A:B, 2, FALSE), E81)</f>
        <v>2370</v>
      </c>
      <c r="F81" s="11">
        <v>1</v>
      </c>
      <c r="G81" s="12">
        <f t="shared" si="7"/>
        <v>2370</v>
      </c>
      <c r="H81" s="7" t="s">
        <v>418</v>
      </c>
      <c r="I81" s="7" t="s">
        <v>416</v>
      </c>
      <c r="J81" s="7"/>
      <c r="K81" s="13" t="e">
        <f t="shared" ca="1" si="8"/>
        <v>#NAME?</v>
      </c>
    </row>
    <row r="82" spans="1:11">
      <c r="A82" s="2" t="s">
        <v>80</v>
      </c>
      <c r="B82" s="8"/>
      <c r="C82" s="1" t="s">
        <v>413</v>
      </c>
      <c r="D82" s="1" t="s">
        <v>425</v>
      </c>
      <c r="E82" s="10">
        <f>IFERROR(VLOOKUP(C82, [1]actualizado!A:B, 2, FALSE), E82)</f>
        <v>2370</v>
      </c>
      <c r="F82" s="11">
        <v>1</v>
      </c>
      <c r="G82" s="12">
        <f t="shared" si="7"/>
        <v>2370</v>
      </c>
      <c r="H82" s="7" t="s">
        <v>418</v>
      </c>
      <c r="I82" s="7" t="s">
        <v>416</v>
      </c>
      <c r="J82" s="7"/>
      <c r="K82" s="13" t="e">
        <f t="shared" ca="1" si="8"/>
        <v>#NAME?</v>
      </c>
    </row>
    <row r="83" spans="1:11">
      <c r="A83" s="2" t="s">
        <v>81</v>
      </c>
      <c r="B83" s="8"/>
      <c r="C83" s="1" t="s">
        <v>413</v>
      </c>
      <c r="D83" s="1" t="s">
        <v>425</v>
      </c>
      <c r="E83" s="10">
        <f>IFERROR(VLOOKUP(C83, [1]actualizado!A:B, 2, FALSE), E83)</f>
        <v>2370</v>
      </c>
      <c r="F83" s="11">
        <v>1</v>
      </c>
      <c r="G83" s="12">
        <f t="shared" si="7"/>
        <v>2370</v>
      </c>
      <c r="H83" s="7" t="s">
        <v>418</v>
      </c>
      <c r="I83" s="7" t="s">
        <v>416</v>
      </c>
      <c r="J83" s="7"/>
      <c r="K83" s="13" t="e">
        <f t="shared" ca="1" si="8"/>
        <v>#NAME?</v>
      </c>
    </row>
    <row r="84" spans="1:11">
      <c r="A84" s="2" t="s">
        <v>82</v>
      </c>
      <c r="B84" s="8"/>
      <c r="C84" s="1" t="s">
        <v>413</v>
      </c>
      <c r="D84" s="1" t="s">
        <v>425</v>
      </c>
      <c r="E84" s="10">
        <f>IFERROR(VLOOKUP(C84, [1]actualizado!A:B, 2, FALSE), E84)</f>
        <v>2370</v>
      </c>
      <c r="F84" s="11">
        <v>1</v>
      </c>
      <c r="G84" s="12">
        <f t="shared" si="7"/>
        <v>2370</v>
      </c>
      <c r="H84" s="7" t="s">
        <v>418</v>
      </c>
      <c r="I84" s="7" t="s">
        <v>416</v>
      </c>
      <c r="J84" s="7"/>
      <c r="K84" s="13" t="e">
        <f t="shared" ca="1" si="8"/>
        <v>#NAME?</v>
      </c>
    </row>
    <row r="85" spans="1:11">
      <c r="A85" s="2" t="s">
        <v>83</v>
      </c>
      <c r="B85" s="8"/>
      <c r="C85" s="1" t="s">
        <v>413</v>
      </c>
      <c r="D85" s="1" t="s">
        <v>425</v>
      </c>
      <c r="E85" s="10">
        <f>IFERROR(VLOOKUP(C85, [1]actualizado!A:B, 2, FALSE), E85)</f>
        <v>2370</v>
      </c>
      <c r="F85" s="11">
        <v>1</v>
      </c>
      <c r="G85" s="12">
        <f t="shared" si="7"/>
        <v>2370</v>
      </c>
      <c r="H85" s="7" t="s">
        <v>418</v>
      </c>
      <c r="I85" s="7" t="s">
        <v>416</v>
      </c>
      <c r="J85" s="7"/>
      <c r="K85" s="13" t="e">
        <f t="shared" ca="1" si="8"/>
        <v>#NAME?</v>
      </c>
    </row>
    <row r="86" spans="1:11">
      <c r="A86" s="2" t="s">
        <v>84</v>
      </c>
      <c r="B86" s="8"/>
      <c r="C86" s="1" t="s">
        <v>413</v>
      </c>
      <c r="D86" s="1" t="s">
        <v>425</v>
      </c>
      <c r="E86" s="10">
        <f>IFERROR(VLOOKUP(C86, [1]actualizado!A:B, 2, FALSE), E86)</f>
        <v>2370</v>
      </c>
      <c r="F86" s="11">
        <v>1</v>
      </c>
      <c r="G86" s="12">
        <f t="shared" si="7"/>
        <v>2370</v>
      </c>
      <c r="H86" s="7" t="s">
        <v>418</v>
      </c>
      <c r="I86" s="7" t="s">
        <v>416</v>
      </c>
      <c r="J86" s="7"/>
      <c r="K86" s="13" t="e">
        <f t="shared" ca="1" si="8"/>
        <v>#NAME?</v>
      </c>
    </row>
    <row r="87" spans="1:11">
      <c r="A87" s="2" t="s">
        <v>85</v>
      </c>
      <c r="B87" s="8"/>
      <c r="C87" s="1" t="s">
        <v>413</v>
      </c>
      <c r="D87" s="1" t="s">
        <v>425</v>
      </c>
      <c r="E87" s="10">
        <f>IFERROR(VLOOKUP(C87, [1]actualizado!A:B, 2, FALSE), E87)</f>
        <v>2370</v>
      </c>
      <c r="F87" s="11">
        <v>1</v>
      </c>
      <c r="G87" s="12">
        <f t="shared" si="7"/>
        <v>2370</v>
      </c>
      <c r="H87" s="7" t="s">
        <v>418</v>
      </c>
      <c r="I87" s="7" t="s">
        <v>416</v>
      </c>
      <c r="J87" s="7"/>
      <c r="K87" s="13" t="e">
        <f t="shared" ca="1" si="8"/>
        <v>#NAME?</v>
      </c>
    </row>
    <row r="88" spans="1:11">
      <c r="A88" s="2" t="s">
        <v>86</v>
      </c>
      <c r="B88" s="8"/>
      <c r="C88" s="1" t="s">
        <v>413</v>
      </c>
      <c r="D88" s="1" t="s">
        <v>425</v>
      </c>
      <c r="E88" s="10">
        <f>IFERROR(VLOOKUP(C88, [1]actualizado!A:B, 2, FALSE), E88)</f>
        <v>2370</v>
      </c>
      <c r="F88" s="11">
        <v>1</v>
      </c>
      <c r="G88" s="12">
        <f t="shared" si="7"/>
        <v>2370</v>
      </c>
      <c r="H88" s="7" t="s">
        <v>415</v>
      </c>
      <c r="I88" s="7" t="s">
        <v>416</v>
      </c>
      <c r="J88" s="7">
        <f>38*40</f>
        <v>1520</v>
      </c>
      <c r="K88" s="13" t="e">
        <f t="shared" ca="1" si="8"/>
        <v>#NAME?</v>
      </c>
    </row>
    <row r="89" spans="1:11">
      <c r="A89" s="1" t="s">
        <v>87</v>
      </c>
      <c r="B89" s="8"/>
      <c r="C89" s="1" t="s">
        <v>413</v>
      </c>
      <c r="D89" s="1" t="s">
        <v>425</v>
      </c>
      <c r="E89" s="10">
        <f>IFERROR(VLOOKUP(C89, [1]actualizado!A:B, 2, FALSE), E89)</f>
        <v>2370</v>
      </c>
      <c r="F89" s="11">
        <v>30</v>
      </c>
      <c r="G89" s="12">
        <f t="shared" si="7"/>
        <v>79</v>
      </c>
      <c r="H89" s="7"/>
      <c r="I89" s="7"/>
      <c r="J89" s="7"/>
      <c r="K89" s="13"/>
    </row>
    <row r="90" spans="1:11">
      <c r="A90" s="1" t="s">
        <v>88</v>
      </c>
      <c r="B90" s="8"/>
      <c r="C90" s="1" t="s">
        <v>413</v>
      </c>
      <c r="D90" s="1" t="s">
        <v>425</v>
      </c>
      <c r="E90" s="10">
        <f>IFERROR(VLOOKUP(C90, [1]actualizado!A:B, 2, FALSE), E90)</f>
        <v>2370</v>
      </c>
      <c r="F90" s="11">
        <v>30</v>
      </c>
      <c r="G90" s="12">
        <f t="shared" si="7"/>
        <v>79</v>
      </c>
      <c r="H90" s="7"/>
      <c r="I90" s="7"/>
      <c r="J90" s="7"/>
      <c r="K90" s="13"/>
    </row>
    <row r="91" spans="1:11">
      <c r="A91" s="2" t="s">
        <v>89</v>
      </c>
      <c r="B91" s="8"/>
      <c r="C91" s="1" t="s">
        <v>413</v>
      </c>
      <c r="D91" s="1" t="s">
        <v>426</v>
      </c>
      <c r="E91" s="10">
        <f>IFERROR(VLOOKUP(C91, [1]actualizado!A:B, 2, FALSE), E91)</f>
        <v>2370</v>
      </c>
      <c r="F91" s="11">
        <v>40</v>
      </c>
      <c r="G91" s="12">
        <f t="shared" si="7"/>
        <v>59.25</v>
      </c>
      <c r="H91" s="7" t="s">
        <v>415</v>
      </c>
      <c r="I91" s="7" t="s">
        <v>416</v>
      </c>
      <c r="J91" s="7">
        <v>1520</v>
      </c>
      <c r="K91" s="13" t="e">
        <f t="shared" ref="K91:K93" ca="1" si="9">_xludf.IFS(H91="SI",J91/F91,H91="NO",1)</f>
        <v>#NAME?</v>
      </c>
    </row>
    <row r="92" spans="1:11">
      <c r="A92" s="2" t="s">
        <v>90</v>
      </c>
      <c r="B92" s="8"/>
      <c r="C92" s="1" t="s">
        <v>413</v>
      </c>
      <c r="D92" s="1" t="s">
        <v>426</v>
      </c>
      <c r="E92" s="10">
        <f>IFERROR(VLOOKUP(C92, [1]actualizado!A:B, 2, FALSE), E92)</f>
        <v>2370</v>
      </c>
      <c r="F92" s="11">
        <v>40</v>
      </c>
      <c r="G92" s="12">
        <f t="shared" si="7"/>
        <v>59.25</v>
      </c>
      <c r="H92" s="7" t="s">
        <v>415</v>
      </c>
      <c r="I92" s="7" t="s">
        <v>416</v>
      </c>
      <c r="J92" s="7">
        <v>1680</v>
      </c>
      <c r="K92" s="13" t="e">
        <f t="shared" ca="1" si="9"/>
        <v>#NAME?</v>
      </c>
    </row>
    <row r="93" spans="1:11">
      <c r="A93" s="2" t="s">
        <v>91</v>
      </c>
      <c r="B93" s="8"/>
      <c r="C93" s="1" t="s">
        <v>413</v>
      </c>
      <c r="D93" s="1" t="s">
        <v>426</v>
      </c>
      <c r="E93" s="10">
        <f>IFERROR(VLOOKUP(C93, [1]actualizado!A:B, 2, FALSE), E93)</f>
        <v>2370</v>
      </c>
      <c r="F93" s="11">
        <v>24</v>
      </c>
      <c r="G93" s="12">
        <f t="shared" si="7"/>
        <v>98.75</v>
      </c>
      <c r="H93" s="7" t="s">
        <v>415</v>
      </c>
      <c r="I93" s="7" t="s">
        <v>416</v>
      </c>
      <c r="J93" s="7">
        <v>1680</v>
      </c>
      <c r="K93" s="13" t="e">
        <f t="shared" ca="1" si="9"/>
        <v>#NAME?</v>
      </c>
    </row>
    <row r="94" spans="1:11">
      <c r="A94" s="2" t="s">
        <v>92</v>
      </c>
      <c r="B94" s="8"/>
      <c r="C94" s="1" t="s">
        <v>413</v>
      </c>
      <c r="D94" s="1" t="s">
        <v>426</v>
      </c>
      <c r="E94" s="10">
        <f>IFERROR(VLOOKUP(C94, [1]actualizado!A:B, 2, FALSE), E94)</f>
        <v>2370</v>
      </c>
      <c r="F94" s="11">
        <v>24</v>
      </c>
      <c r="G94" s="12">
        <f t="shared" si="7"/>
        <v>98.75</v>
      </c>
      <c r="H94" s="7"/>
      <c r="I94" s="7"/>
      <c r="J94" s="7"/>
      <c r="K94" s="13"/>
    </row>
    <row r="95" spans="1:11">
      <c r="A95" s="1" t="s">
        <v>93</v>
      </c>
      <c r="B95" s="8"/>
      <c r="C95" s="1" t="s">
        <v>413</v>
      </c>
      <c r="D95" s="1" t="s">
        <v>426</v>
      </c>
      <c r="E95" s="10">
        <f>IFERROR(VLOOKUP(C95, [1]actualizado!A:B, 2, FALSE), E95)</f>
        <v>2370</v>
      </c>
      <c r="F95" s="11">
        <v>24</v>
      </c>
      <c r="G95" s="12"/>
      <c r="H95" s="7"/>
      <c r="I95" s="7"/>
      <c r="J95" s="7"/>
      <c r="K95" s="13"/>
    </row>
    <row r="96" spans="1:11">
      <c r="A96" s="1" t="s">
        <v>94</v>
      </c>
      <c r="B96" s="8"/>
      <c r="C96" s="1" t="s">
        <v>413</v>
      </c>
      <c r="D96" s="1" t="s">
        <v>426</v>
      </c>
      <c r="E96" s="10">
        <f>IFERROR(VLOOKUP(C96, [1]actualizado!A:B, 2, FALSE), E96)</f>
        <v>2370</v>
      </c>
      <c r="F96" s="11">
        <v>40</v>
      </c>
      <c r="G96" s="12">
        <f t="shared" ref="G96:G230" si="10">E96/F96</f>
        <v>59.25</v>
      </c>
      <c r="H96" s="7"/>
      <c r="I96" s="7"/>
      <c r="J96" s="7"/>
      <c r="K96" s="13"/>
    </row>
    <row r="97" spans="1:11">
      <c r="A97" s="1" t="s">
        <v>95</v>
      </c>
      <c r="B97" s="8"/>
      <c r="C97" s="1" t="s">
        <v>413</v>
      </c>
      <c r="D97" s="1" t="s">
        <v>426</v>
      </c>
      <c r="E97" s="10">
        <f>IFERROR(VLOOKUP(C97, [1]actualizado!A:B, 2, FALSE), E97)</f>
        <v>2370</v>
      </c>
      <c r="F97" s="11">
        <v>40</v>
      </c>
      <c r="G97" s="12">
        <f t="shared" si="10"/>
        <v>59.25</v>
      </c>
      <c r="H97" s="7"/>
      <c r="I97" s="7"/>
      <c r="J97" s="7"/>
      <c r="K97" s="13"/>
    </row>
    <row r="98" spans="1:11">
      <c r="A98" s="1" t="s">
        <v>96</v>
      </c>
      <c r="B98" s="8"/>
      <c r="C98" s="1" t="s">
        <v>413</v>
      </c>
      <c r="D98" s="1" t="s">
        <v>426</v>
      </c>
      <c r="E98" s="10">
        <f>IFERROR(VLOOKUP(C98, [1]actualizado!A:B, 2, FALSE), E98)</f>
        <v>2370</v>
      </c>
      <c r="F98" s="11">
        <v>40</v>
      </c>
      <c r="G98" s="12">
        <f t="shared" si="10"/>
        <v>59.25</v>
      </c>
      <c r="H98" s="7"/>
      <c r="I98" s="7"/>
      <c r="J98" s="7"/>
      <c r="K98" s="13"/>
    </row>
    <row r="99" spans="1:11">
      <c r="A99" s="1" t="s">
        <v>97</v>
      </c>
      <c r="B99" s="8"/>
      <c r="C99" s="1" t="s">
        <v>413</v>
      </c>
      <c r="D99" s="1" t="s">
        <v>426</v>
      </c>
      <c r="E99" s="10">
        <f>IFERROR(VLOOKUP(C99, [1]actualizado!A:B, 2, FALSE), E99)</f>
        <v>2370</v>
      </c>
      <c r="F99" s="11">
        <v>24</v>
      </c>
      <c r="G99" s="12">
        <f t="shared" si="10"/>
        <v>98.75</v>
      </c>
      <c r="H99" s="7"/>
      <c r="I99" s="7"/>
      <c r="J99" s="7"/>
      <c r="K99" s="13"/>
    </row>
    <row r="100" spans="1:11">
      <c r="A100" s="2" t="s">
        <v>98</v>
      </c>
      <c r="B100" s="8"/>
      <c r="C100" s="1" t="s">
        <v>413</v>
      </c>
      <c r="D100" s="1" t="s">
        <v>426</v>
      </c>
      <c r="E100" s="10">
        <f>IFERROR(VLOOKUP(C100, [1]actualizado!A:B, 2, FALSE), E100)</f>
        <v>2370</v>
      </c>
      <c r="F100" s="11">
        <v>24</v>
      </c>
      <c r="G100" s="12">
        <f t="shared" si="10"/>
        <v>98.75</v>
      </c>
      <c r="H100" s="7" t="s">
        <v>418</v>
      </c>
      <c r="I100" s="7" t="s">
        <v>416</v>
      </c>
      <c r="J100" s="7"/>
      <c r="K100" s="13" t="e">
        <f ca="1">_xludf.IFS(H100="SI",J100/F100,H100="NO",1)</f>
        <v>#NAME?</v>
      </c>
    </row>
    <row r="101" spans="1:11">
      <c r="A101" s="2" t="s">
        <v>99</v>
      </c>
      <c r="B101" s="8"/>
      <c r="C101" s="1" t="s">
        <v>413</v>
      </c>
      <c r="D101" s="1" t="s">
        <v>426</v>
      </c>
      <c r="E101" s="10">
        <f>IFERROR(VLOOKUP(C101, [1]actualizado!A:B, 2, FALSE), E101)</f>
        <v>2370</v>
      </c>
      <c r="F101" s="11">
        <v>24</v>
      </c>
      <c r="G101" s="12">
        <f t="shared" si="10"/>
        <v>98.75</v>
      </c>
      <c r="H101" s="7"/>
      <c r="I101" s="7"/>
      <c r="J101" s="7"/>
      <c r="K101" s="13"/>
    </row>
    <row r="102" spans="1:11">
      <c r="A102" s="1" t="s">
        <v>100</v>
      </c>
      <c r="B102" s="8"/>
      <c r="C102" s="1" t="s">
        <v>413</v>
      </c>
      <c r="D102" s="1" t="s">
        <v>426</v>
      </c>
      <c r="E102" s="10">
        <f>IFERROR(VLOOKUP(C102, [1]actualizado!A:B, 2, FALSE), E102)</f>
        <v>2370</v>
      </c>
      <c r="F102" s="11">
        <v>20</v>
      </c>
      <c r="G102" s="12">
        <f t="shared" si="10"/>
        <v>118.5</v>
      </c>
      <c r="H102" s="7"/>
      <c r="I102" s="7"/>
      <c r="J102" s="7"/>
      <c r="K102" s="13"/>
    </row>
    <row r="103" spans="1:11">
      <c r="A103" s="1" t="s">
        <v>101</v>
      </c>
      <c r="B103" s="8"/>
      <c r="C103" s="1" t="s">
        <v>413</v>
      </c>
      <c r="D103" s="1" t="s">
        <v>426</v>
      </c>
      <c r="E103" s="10">
        <f>IFERROR(VLOOKUP(C103, [1]actualizado!A:B, 2, FALSE), E103)</f>
        <v>2370</v>
      </c>
      <c r="F103" s="11">
        <v>20</v>
      </c>
      <c r="G103" s="12">
        <f t="shared" si="10"/>
        <v>118.5</v>
      </c>
      <c r="H103" s="7"/>
      <c r="I103" s="7"/>
      <c r="J103" s="7"/>
      <c r="K103" s="13"/>
    </row>
    <row r="104" spans="1:11">
      <c r="A104" s="1" t="s">
        <v>102</v>
      </c>
      <c r="B104" s="8"/>
      <c r="C104" s="1" t="s">
        <v>413</v>
      </c>
      <c r="D104" s="1" t="s">
        <v>426</v>
      </c>
      <c r="E104" s="10">
        <f>IFERROR(VLOOKUP(C104, [1]actualizado!A:B, 2, FALSE), E104)</f>
        <v>2370</v>
      </c>
      <c r="F104" s="11">
        <v>50</v>
      </c>
      <c r="G104" s="12">
        <f t="shared" si="10"/>
        <v>47.4</v>
      </c>
      <c r="H104" s="7"/>
      <c r="I104" s="7"/>
      <c r="J104" s="7"/>
      <c r="K104" s="13"/>
    </row>
    <row r="105" spans="1:11">
      <c r="A105" s="1" t="s">
        <v>103</v>
      </c>
      <c r="B105" s="8"/>
      <c r="C105" s="1" t="s">
        <v>413</v>
      </c>
      <c r="D105" s="1" t="s">
        <v>426</v>
      </c>
      <c r="E105" s="10">
        <f>IFERROR(VLOOKUP(C105, [1]actualizado!A:B, 2, FALSE), E105)</f>
        <v>2370</v>
      </c>
      <c r="F105" s="11">
        <v>40</v>
      </c>
      <c r="G105" s="12">
        <f t="shared" si="10"/>
        <v>59.25</v>
      </c>
      <c r="H105" s="7"/>
      <c r="I105" s="7"/>
      <c r="J105" s="7"/>
      <c r="K105" s="13"/>
    </row>
    <row r="106" spans="1:11">
      <c r="A106" s="1" t="s">
        <v>104</v>
      </c>
      <c r="B106" s="8"/>
      <c r="C106" s="1" t="s">
        <v>413</v>
      </c>
      <c r="D106" s="1" t="s">
        <v>426</v>
      </c>
      <c r="E106" s="10">
        <f>IFERROR(VLOOKUP(C106, [1]actualizado!A:B, 2, FALSE), E106)</f>
        <v>2370</v>
      </c>
      <c r="F106" s="11">
        <v>40</v>
      </c>
      <c r="G106" s="12">
        <f t="shared" si="10"/>
        <v>59.25</v>
      </c>
      <c r="H106" s="7"/>
      <c r="I106" s="7"/>
      <c r="J106" s="7"/>
      <c r="K106" s="13"/>
    </row>
    <row r="107" spans="1:11">
      <c r="A107" s="1" t="s">
        <v>105</v>
      </c>
      <c r="B107" s="8"/>
      <c r="C107" s="1" t="s">
        <v>413</v>
      </c>
      <c r="D107" s="1" t="s">
        <v>426</v>
      </c>
      <c r="E107" s="10">
        <f>IFERROR(VLOOKUP(C107, [1]actualizado!A:B, 2, FALSE), E107)</f>
        <v>2370</v>
      </c>
      <c r="F107" s="11">
        <v>1</v>
      </c>
      <c r="G107" s="12">
        <f t="shared" si="10"/>
        <v>2370</v>
      </c>
      <c r="H107" s="7"/>
      <c r="I107" s="7"/>
      <c r="J107" s="7"/>
      <c r="K107" s="13"/>
    </row>
    <row r="108" spans="1:11">
      <c r="A108" s="1" t="s">
        <v>106</v>
      </c>
      <c r="B108" s="8"/>
      <c r="C108" s="1" t="s">
        <v>413</v>
      </c>
      <c r="D108" s="1" t="s">
        <v>426</v>
      </c>
      <c r="E108" s="10">
        <f>IFERROR(VLOOKUP(C108, [1]actualizado!A:B, 2, FALSE), E108)</f>
        <v>2370</v>
      </c>
      <c r="F108" s="11">
        <v>24</v>
      </c>
      <c r="G108" s="12">
        <f t="shared" si="10"/>
        <v>98.75</v>
      </c>
      <c r="H108" s="7"/>
      <c r="I108" s="7"/>
      <c r="J108" s="7"/>
      <c r="K108" s="13"/>
    </row>
    <row r="109" spans="1:11">
      <c r="A109" s="1" t="s">
        <v>107</v>
      </c>
      <c r="B109" s="8"/>
      <c r="C109" s="1" t="s">
        <v>413</v>
      </c>
      <c r="D109" s="1" t="s">
        <v>426</v>
      </c>
      <c r="E109" s="10">
        <f>IFERROR(VLOOKUP(C109, [1]actualizado!A:B, 2, FALSE), E109)</f>
        <v>2370</v>
      </c>
      <c r="F109" s="11">
        <v>40</v>
      </c>
      <c r="G109" s="12">
        <f t="shared" si="10"/>
        <v>59.25</v>
      </c>
      <c r="H109" s="7"/>
      <c r="I109" s="7"/>
      <c r="J109" s="7"/>
      <c r="K109" s="13"/>
    </row>
    <row r="110" spans="1:11">
      <c r="A110" s="1" t="s">
        <v>108</v>
      </c>
      <c r="B110" s="8"/>
      <c r="C110" s="1" t="s">
        <v>413</v>
      </c>
      <c r="D110" s="1" t="s">
        <v>426</v>
      </c>
      <c r="E110" s="10">
        <f>IFERROR(VLOOKUP(C110, [1]actualizado!A:B, 2, FALSE), E110)</f>
        <v>2370</v>
      </c>
      <c r="F110" s="11">
        <v>20</v>
      </c>
      <c r="G110" s="12">
        <f t="shared" si="10"/>
        <v>118.5</v>
      </c>
      <c r="H110" s="7"/>
      <c r="I110" s="7"/>
      <c r="J110" s="7"/>
      <c r="K110" s="13"/>
    </row>
    <row r="111" spans="1:11">
      <c r="A111" s="1" t="s">
        <v>109</v>
      </c>
      <c r="B111" s="8"/>
      <c r="C111" s="1" t="s">
        <v>413</v>
      </c>
      <c r="D111" s="1" t="s">
        <v>426</v>
      </c>
      <c r="E111" s="10">
        <f>IFERROR(VLOOKUP(C111, [1]actualizado!A:B, 2, FALSE), E111)</f>
        <v>2370</v>
      </c>
      <c r="F111" s="11">
        <v>30</v>
      </c>
      <c r="G111" s="12">
        <f t="shared" si="10"/>
        <v>79</v>
      </c>
      <c r="H111" s="7"/>
      <c r="I111" s="7"/>
      <c r="J111" s="7"/>
      <c r="K111" s="13"/>
    </row>
    <row r="112" spans="1:11">
      <c r="A112" s="1" t="s">
        <v>110</v>
      </c>
      <c r="B112" s="8"/>
      <c r="C112" s="1" t="s">
        <v>413</v>
      </c>
      <c r="D112" s="1" t="s">
        <v>426</v>
      </c>
      <c r="E112" s="10">
        <f>IFERROR(VLOOKUP(C112, [1]actualizado!A:B, 2, FALSE), E112)</f>
        <v>2370</v>
      </c>
      <c r="F112" s="11">
        <v>48</v>
      </c>
      <c r="G112" s="12">
        <f t="shared" si="10"/>
        <v>49.375</v>
      </c>
      <c r="H112" s="7"/>
      <c r="I112" s="7"/>
      <c r="J112" s="7"/>
      <c r="K112" s="13"/>
    </row>
    <row r="113" spans="1:11">
      <c r="A113" s="1" t="s">
        <v>111</v>
      </c>
      <c r="B113" s="8"/>
      <c r="C113" s="1" t="s">
        <v>413</v>
      </c>
      <c r="D113" s="1" t="s">
        <v>426</v>
      </c>
      <c r="E113" s="10">
        <f>IFERROR(VLOOKUP(C113, [1]actualizado!A:B, 2, FALSE), E113)</f>
        <v>2370</v>
      </c>
      <c r="F113" s="11">
        <v>48</v>
      </c>
      <c r="G113" s="12">
        <f t="shared" si="10"/>
        <v>49.375</v>
      </c>
      <c r="H113" s="7"/>
      <c r="I113" s="7"/>
      <c r="J113" s="7"/>
      <c r="K113" s="13"/>
    </row>
    <row r="114" spans="1:11">
      <c r="A114" s="1" t="s">
        <v>112</v>
      </c>
      <c r="B114" s="8"/>
      <c r="C114" s="1" t="s">
        <v>413</v>
      </c>
      <c r="D114" s="1" t="s">
        <v>426</v>
      </c>
      <c r="E114" s="10">
        <f>IFERROR(VLOOKUP(C114, [1]actualizado!A:B, 2, FALSE), E114)</f>
        <v>2370</v>
      </c>
      <c r="F114" s="11">
        <v>24</v>
      </c>
      <c r="G114" s="12">
        <f t="shared" si="10"/>
        <v>98.75</v>
      </c>
      <c r="H114" s="7"/>
      <c r="I114" s="7"/>
      <c r="J114" s="7"/>
      <c r="K114" s="13"/>
    </row>
    <row r="115" spans="1:11">
      <c r="A115" s="1" t="s">
        <v>113</v>
      </c>
      <c r="B115" s="8"/>
      <c r="C115" s="1" t="s">
        <v>413</v>
      </c>
      <c r="D115" s="1" t="s">
        <v>426</v>
      </c>
      <c r="E115" s="10">
        <f>IFERROR(VLOOKUP(C115, [1]actualizado!A:B, 2, FALSE), E115)</f>
        <v>2370</v>
      </c>
      <c r="F115" s="11">
        <v>24</v>
      </c>
      <c r="G115" s="12">
        <f t="shared" si="10"/>
        <v>98.75</v>
      </c>
      <c r="H115" s="7"/>
      <c r="I115" s="7"/>
      <c r="J115" s="7"/>
      <c r="K115" s="13"/>
    </row>
    <row r="116" spans="1:11">
      <c r="A116" s="1" t="s">
        <v>114</v>
      </c>
      <c r="B116" s="8"/>
      <c r="C116" s="1" t="s">
        <v>413</v>
      </c>
      <c r="D116" s="1" t="s">
        <v>426</v>
      </c>
      <c r="E116" s="10">
        <f>IFERROR(VLOOKUP(C116, [1]actualizado!A:B, 2, FALSE), E116)</f>
        <v>2370</v>
      </c>
      <c r="F116" s="11">
        <v>15</v>
      </c>
      <c r="G116" s="12">
        <f t="shared" si="10"/>
        <v>158</v>
      </c>
      <c r="H116" s="7"/>
      <c r="I116" s="7"/>
      <c r="J116" s="7"/>
      <c r="K116" s="13"/>
    </row>
    <row r="117" spans="1:11">
      <c r="A117" s="1" t="s">
        <v>115</v>
      </c>
      <c r="B117" s="8"/>
      <c r="C117" s="1" t="s">
        <v>413</v>
      </c>
      <c r="D117" s="1" t="s">
        <v>427</v>
      </c>
      <c r="E117" s="10">
        <f>IFERROR(VLOOKUP(C117, [1]actualizado!A:B, 2, FALSE), E117)</f>
        <v>2370</v>
      </c>
      <c r="F117" s="11">
        <v>1</v>
      </c>
      <c r="G117" s="12">
        <f t="shared" si="10"/>
        <v>2370</v>
      </c>
      <c r="H117" s="7"/>
      <c r="I117" s="7"/>
      <c r="J117" s="7"/>
      <c r="K117" s="13"/>
    </row>
    <row r="118" spans="1:11">
      <c r="A118" s="1" t="s">
        <v>116</v>
      </c>
      <c r="B118" s="8"/>
      <c r="C118" s="1" t="s">
        <v>413</v>
      </c>
      <c r="D118" s="1" t="s">
        <v>427</v>
      </c>
      <c r="E118" s="10">
        <f>IFERROR(VLOOKUP(C118, [1]actualizado!A:B, 2, FALSE), E118)</f>
        <v>2370</v>
      </c>
      <c r="F118" s="11">
        <v>1</v>
      </c>
      <c r="G118" s="12">
        <f t="shared" si="10"/>
        <v>2370</v>
      </c>
      <c r="H118" s="7"/>
      <c r="I118" s="7"/>
      <c r="J118" s="7"/>
      <c r="K118" s="13"/>
    </row>
    <row r="119" spans="1:11">
      <c r="A119" s="1" t="s">
        <v>117</v>
      </c>
      <c r="B119" s="8"/>
      <c r="C119" s="1" t="s">
        <v>413</v>
      </c>
      <c r="D119" s="1" t="s">
        <v>427</v>
      </c>
      <c r="E119" s="10">
        <f>IFERROR(VLOOKUP(C119, [1]actualizado!A:B, 2, FALSE), E119)</f>
        <v>2370</v>
      </c>
      <c r="F119" s="11">
        <v>1</v>
      </c>
      <c r="G119" s="12">
        <f t="shared" si="10"/>
        <v>2370</v>
      </c>
      <c r="H119" s="7"/>
      <c r="I119" s="7"/>
      <c r="J119" s="7"/>
      <c r="K119" s="13"/>
    </row>
    <row r="120" spans="1:11">
      <c r="A120" s="1" t="s">
        <v>118</v>
      </c>
      <c r="B120" s="8"/>
      <c r="C120" s="1" t="s">
        <v>413</v>
      </c>
      <c r="D120" s="1" t="s">
        <v>427</v>
      </c>
      <c r="E120" s="10">
        <f>IFERROR(VLOOKUP(C120, [1]actualizado!A:B, 2, FALSE), E120)</f>
        <v>2370</v>
      </c>
      <c r="F120" s="11">
        <v>1</v>
      </c>
      <c r="G120" s="12">
        <f t="shared" si="10"/>
        <v>2370</v>
      </c>
      <c r="H120" s="7"/>
      <c r="I120" s="7"/>
      <c r="J120" s="7"/>
      <c r="K120" s="13"/>
    </row>
    <row r="121" spans="1:11">
      <c r="A121" s="1" t="s">
        <v>119</v>
      </c>
      <c r="B121" s="8"/>
      <c r="C121" s="1" t="s">
        <v>413</v>
      </c>
      <c r="D121" s="1" t="s">
        <v>427</v>
      </c>
      <c r="E121" s="10">
        <f>IFERROR(VLOOKUP(C121, [1]actualizado!A:B, 2, FALSE), E121)</f>
        <v>2370</v>
      </c>
      <c r="F121" s="11">
        <v>1</v>
      </c>
      <c r="G121" s="12">
        <f t="shared" si="10"/>
        <v>2370</v>
      </c>
      <c r="H121" s="7"/>
      <c r="I121" s="7"/>
      <c r="J121" s="7"/>
      <c r="K121" s="13"/>
    </row>
    <row r="122" spans="1:11">
      <c r="A122" s="1" t="s">
        <v>120</v>
      </c>
      <c r="B122" s="8"/>
      <c r="C122" s="1" t="s">
        <v>413</v>
      </c>
      <c r="D122" s="1" t="s">
        <v>427</v>
      </c>
      <c r="E122" s="10">
        <f>IFERROR(VLOOKUP(C122, [1]actualizado!A:B, 2, FALSE), E122)</f>
        <v>2370</v>
      </c>
      <c r="F122" s="11">
        <v>1</v>
      </c>
      <c r="G122" s="12">
        <f t="shared" si="10"/>
        <v>2370</v>
      </c>
      <c r="H122" s="7"/>
      <c r="I122" s="7"/>
      <c r="J122" s="7"/>
      <c r="K122" s="13"/>
    </row>
    <row r="123" spans="1:11">
      <c r="A123" s="1" t="s">
        <v>121</v>
      </c>
      <c r="B123" s="8"/>
      <c r="C123" s="1" t="s">
        <v>413</v>
      </c>
      <c r="D123" s="1" t="s">
        <v>427</v>
      </c>
      <c r="E123" s="10">
        <f>IFERROR(VLOOKUP(C123, [1]actualizado!A:B, 2, FALSE), E123)</f>
        <v>2370</v>
      </c>
      <c r="F123" s="11">
        <v>1</v>
      </c>
      <c r="G123" s="12">
        <f t="shared" si="10"/>
        <v>2370</v>
      </c>
      <c r="H123" s="7"/>
      <c r="I123" s="7"/>
      <c r="J123" s="7"/>
      <c r="K123" s="13"/>
    </row>
    <row r="124" spans="1:11">
      <c r="A124" s="1" t="s">
        <v>122</v>
      </c>
      <c r="B124" s="8"/>
      <c r="C124" s="1" t="s">
        <v>413</v>
      </c>
      <c r="D124" s="1" t="s">
        <v>427</v>
      </c>
      <c r="E124" s="10">
        <f>IFERROR(VLOOKUP(C124, [1]actualizado!A:B, 2, FALSE), E124)</f>
        <v>2370</v>
      </c>
      <c r="F124" s="11">
        <v>1</v>
      </c>
      <c r="G124" s="12">
        <f t="shared" si="10"/>
        <v>2370</v>
      </c>
      <c r="H124" s="7"/>
      <c r="I124" s="7"/>
      <c r="J124" s="7"/>
      <c r="K124" s="13"/>
    </row>
    <row r="125" spans="1:11">
      <c r="A125" s="1" t="s">
        <v>123</v>
      </c>
      <c r="B125" s="8"/>
      <c r="C125" s="1" t="s">
        <v>413</v>
      </c>
      <c r="D125" s="1" t="s">
        <v>427</v>
      </c>
      <c r="E125" s="10">
        <f>IFERROR(VLOOKUP(C125, [1]actualizado!A:B, 2, FALSE), E125)</f>
        <v>2370</v>
      </c>
      <c r="F125" s="11">
        <v>1</v>
      </c>
      <c r="G125" s="12">
        <f t="shared" si="10"/>
        <v>2370</v>
      </c>
      <c r="H125" s="7"/>
      <c r="I125" s="7"/>
      <c r="J125" s="7"/>
      <c r="K125" s="13"/>
    </row>
    <row r="126" spans="1:11">
      <c r="A126" s="1" t="s">
        <v>124</v>
      </c>
      <c r="B126" s="8"/>
      <c r="C126" s="1" t="s">
        <v>413</v>
      </c>
      <c r="D126" s="1" t="s">
        <v>427</v>
      </c>
      <c r="E126" s="10">
        <f>IFERROR(VLOOKUP(C126, [1]actualizado!A:B, 2, FALSE), E126)</f>
        <v>2370</v>
      </c>
      <c r="F126" s="11">
        <v>1</v>
      </c>
      <c r="G126" s="12">
        <f t="shared" si="10"/>
        <v>2370</v>
      </c>
      <c r="H126" s="7"/>
      <c r="I126" s="7"/>
      <c r="J126" s="7"/>
      <c r="K126" s="13"/>
    </row>
    <row r="127" spans="1:11">
      <c r="A127" s="1" t="s">
        <v>125</v>
      </c>
      <c r="B127" s="8"/>
      <c r="C127" s="1" t="s">
        <v>413</v>
      </c>
      <c r="D127" s="1" t="s">
        <v>427</v>
      </c>
      <c r="E127" s="10">
        <f>IFERROR(VLOOKUP(C127, [1]actualizado!A:B, 2, FALSE), E127)</f>
        <v>2370</v>
      </c>
      <c r="F127" s="11">
        <v>1</v>
      </c>
      <c r="G127" s="12">
        <f t="shared" si="10"/>
        <v>2370</v>
      </c>
      <c r="H127" s="7"/>
      <c r="I127" s="7"/>
      <c r="J127" s="7"/>
      <c r="K127" s="13"/>
    </row>
    <row r="128" spans="1:11">
      <c r="A128" s="1" t="s">
        <v>126</v>
      </c>
      <c r="B128" s="8"/>
      <c r="C128" s="1" t="s">
        <v>413</v>
      </c>
      <c r="D128" s="1" t="s">
        <v>427</v>
      </c>
      <c r="E128" s="10">
        <f>IFERROR(VLOOKUP(C128, [1]actualizado!A:B, 2, FALSE), E128)</f>
        <v>2370</v>
      </c>
      <c r="F128" s="11">
        <v>1</v>
      </c>
      <c r="G128" s="12">
        <f t="shared" si="10"/>
        <v>2370</v>
      </c>
      <c r="H128" s="7"/>
      <c r="I128" s="7"/>
      <c r="J128" s="7"/>
      <c r="K128" s="13"/>
    </row>
    <row r="129" spans="1:11">
      <c r="A129" s="1" t="s">
        <v>127</v>
      </c>
      <c r="B129" s="8"/>
      <c r="C129" s="1" t="s">
        <v>413</v>
      </c>
      <c r="D129" s="1" t="s">
        <v>427</v>
      </c>
      <c r="E129" s="10">
        <f>IFERROR(VLOOKUP(C129, [1]actualizado!A:B, 2, FALSE), E129)</f>
        <v>2370</v>
      </c>
      <c r="F129" s="11">
        <v>1</v>
      </c>
      <c r="G129" s="12">
        <f t="shared" si="10"/>
        <v>2370</v>
      </c>
      <c r="H129" s="7"/>
      <c r="I129" s="7"/>
      <c r="J129" s="7"/>
      <c r="K129" s="13"/>
    </row>
    <row r="130" spans="1:11">
      <c r="A130" s="1" t="s">
        <v>128</v>
      </c>
      <c r="B130" s="8"/>
      <c r="C130" s="1" t="s">
        <v>413</v>
      </c>
      <c r="D130" s="1" t="s">
        <v>427</v>
      </c>
      <c r="E130" s="10">
        <f>IFERROR(VLOOKUP(C130, [1]actualizado!A:B, 2, FALSE), E130)</f>
        <v>2370</v>
      </c>
      <c r="F130" s="11">
        <v>1</v>
      </c>
      <c r="G130" s="12">
        <f t="shared" si="10"/>
        <v>2370</v>
      </c>
      <c r="H130" s="7"/>
      <c r="I130" s="7"/>
      <c r="J130" s="7"/>
      <c r="K130" s="13"/>
    </row>
    <row r="131" spans="1:11">
      <c r="A131" s="1" t="s">
        <v>129</v>
      </c>
      <c r="B131" s="8"/>
      <c r="C131" s="1" t="s">
        <v>413</v>
      </c>
      <c r="D131" s="1" t="s">
        <v>427</v>
      </c>
      <c r="E131" s="10">
        <f>IFERROR(VLOOKUP(C131, [1]actualizado!A:B, 2, FALSE), E131)</f>
        <v>2370</v>
      </c>
      <c r="F131" s="11">
        <v>1</v>
      </c>
      <c r="G131" s="12">
        <f t="shared" si="10"/>
        <v>2370</v>
      </c>
      <c r="H131" s="7"/>
      <c r="I131" s="7"/>
      <c r="J131" s="7"/>
      <c r="K131" s="13"/>
    </row>
    <row r="132" spans="1:11">
      <c r="A132" s="1" t="s">
        <v>130</v>
      </c>
      <c r="B132" s="8"/>
      <c r="C132" s="1" t="s">
        <v>413</v>
      </c>
      <c r="D132" s="1" t="s">
        <v>427</v>
      </c>
      <c r="E132" s="10">
        <f>IFERROR(VLOOKUP(C132, [1]actualizado!A:B, 2, FALSE), E132)</f>
        <v>2370</v>
      </c>
      <c r="F132" s="11">
        <v>1</v>
      </c>
      <c r="G132" s="12">
        <f t="shared" si="10"/>
        <v>2370</v>
      </c>
      <c r="H132" s="7"/>
      <c r="I132" s="7"/>
      <c r="J132" s="7"/>
      <c r="K132" s="13"/>
    </row>
    <row r="133" spans="1:11">
      <c r="A133" s="1" t="s">
        <v>131</v>
      </c>
      <c r="B133" s="8"/>
      <c r="C133" s="1" t="s">
        <v>413</v>
      </c>
      <c r="D133" s="1" t="s">
        <v>427</v>
      </c>
      <c r="E133" s="10">
        <f>IFERROR(VLOOKUP(C133, [1]actualizado!A:B, 2, FALSE), E133)</f>
        <v>2370</v>
      </c>
      <c r="F133" s="11">
        <v>1</v>
      </c>
      <c r="G133" s="12">
        <f t="shared" si="10"/>
        <v>2370</v>
      </c>
      <c r="H133" s="7"/>
      <c r="I133" s="7"/>
      <c r="J133" s="7"/>
      <c r="K133" s="13"/>
    </row>
    <row r="134" spans="1:11">
      <c r="A134" s="1" t="s">
        <v>132</v>
      </c>
      <c r="B134" s="8"/>
      <c r="C134" s="1" t="s">
        <v>413</v>
      </c>
      <c r="D134" s="1" t="s">
        <v>427</v>
      </c>
      <c r="E134" s="10">
        <f>IFERROR(VLOOKUP(C134, [1]actualizado!A:B, 2, FALSE), E134)</f>
        <v>2370</v>
      </c>
      <c r="F134" s="11">
        <v>1</v>
      </c>
      <c r="G134" s="12">
        <f t="shared" si="10"/>
        <v>2370</v>
      </c>
      <c r="H134" s="7"/>
      <c r="I134" s="7"/>
      <c r="J134" s="7"/>
      <c r="K134" s="13"/>
    </row>
    <row r="135" spans="1:11">
      <c r="A135" s="1" t="s">
        <v>133</v>
      </c>
      <c r="B135" s="8"/>
      <c r="C135" s="1" t="s">
        <v>413</v>
      </c>
      <c r="D135" s="1" t="s">
        <v>427</v>
      </c>
      <c r="E135" s="10">
        <f>IFERROR(VLOOKUP(C135, [1]actualizado!A:B, 2, FALSE), E135)</f>
        <v>2370</v>
      </c>
      <c r="F135" s="11">
        <v>1</v>
      </c>
      <c r="G135" s="12">
        <f t="shared" si="10"/>
        <v>2370</v>
      </c>
      <c r="H135" s="7"/>
      <c r="I135" s="7"/>
      <c r="J135" s="7"/>
      <c r="K135" s="13"/>
    </row>
    <row r="136" spans="1:11">
      <c r="A136" s="1" t="s">
        <v>134</v>
      </c>
      <c r="B136" s="8"/>
      <c r="C136" s="1" t="s">
        <v>413</v>
      </c>
      <c r="D136" s="1" t="s">
        <v>427</v>
      </c>
      <c r="E136" s="10">
        <f>IFERROR(VLOOKUP(C136, [1]actualizado!A:B, 2, FALSE), E136)</f>
        <v>2370</v>
      </c>
      <c r="F136" s="11">
        <v>1</v>
      </c>
      <c r="G136" s="12">
        <f t="shared" si="10"/>
        <v>2370</v>
      </c>
      <c r="H136" s="7"/>
      <c r="I136" s="7"/>
      <c r="J136" s="7"/>
      <c r="K136" s="13"/>
    </row>
    <row r="137" spans="1:11">
      <c r="A137" s="1" t="s">
        <v>135</v>
      </c>
      <c r="B137" s="8"/>
      <c r="C137" s="1" t="s">
        <v>413</v>
      </c>
      <c r="D137" s="1" t="s">
        <v>427</v>
      </c>
      <c r="E137" s="10">
        <f>IFERROR(VLOOKUP(C137, [1]actualizado!A:B, 2, FALSE), E137)</f>
        <v>2370</v>
      </c>
      <c r="F137" s="11">
        <v>1</v>
      </c>
      <c r="G137" s="12">
        <f t="shared" si="10"/>
        <v>2370</v>
      </c>
      <c r="H137" s="7" t="s">
        <v>418</v>
      </c>
      <c r="I137" s="7" t="s">
        <v>416</v>
      </c>
      <c r="J137" s="7"/>
      <c r="K137" s="13" t="e">
        <f t="shared" ref="K137:K146" ca="1" si="11">_xludf.IFS(H137="SI",J137/F137,H137="NO",1)</f>
        <v>#NAME?</v>
      </c>
    </row>
    <row r="138" spans="1:11">
      <c r="A138" s="1" t="s">
        <v>136</v>
      </c>
      <c r="B138" s="8"/>
      <c r="C138" s="1" t="s">
        <v>413</v>
      </c>
      <c r="D138" s="1" t="s">
        <v>427</v>
      </c>
      <c r="E138" s="10">
        <f>IFERROR(VLOOKUP(C138, [1]actualizado!A:B, 2, FALSE), E138)</f>
        <v>2370</v>
      </c>
      <c r="F138" s="11">
        <v>1</v>
      </c>
      <c r="G138" s="12">
        <f t="shared" si="10"/>
        <v>2370</v>
      </c>
      <c r="H138" s="7" t="s">
        <v>418</v>
      </c>
      <c r="I138" s="7" t="s">
        <v>416</v>
      </c>
      <c r="J138" s="7"/>
      <c r="K138" s="13" t="e">
        <f t="shared" ca="1" si="11"/>
        <v>#NAME?</v>
      </c>
    </row>
    <row r="139" spans="1:11">
      <c r="A139" s="1" t="s">
        <v>137</v>
      </c>
      <c r="B139" s="8"/>
      <c r="C139" s="1" t="s">
        <v>413</v>
      </c>
      <c r="D139" s="1" t="s">
        <v>427</v>
      </c>
      <c r="E139" s="10">
        <f>IFERROR(VLOOKUP(C139, [1]actualizado!A:B, 2, FALSE), E139)</f>
        <v>2370</v>
      </c>
      <c r="F139" s="11">
        <v>1</v>
      </c>
      <c r="G139" s="12">
        <f t="shared" si="10"/>
        <v>2370</v>
      </c>
      <c r="H139" s="7" t="s">
        <v>418</v>
      </c>
      <c r="I139" s="7" t="s">
        <v>416</v>
      </c>
      <c r="J139" s="7"/>
      <c r="K139" s="13" t="e">
        <f t="shared" ca="1" si="11"/>
        <v>#NAME?</v>
      </c>
    </row>
    <row r="140" spans="1:11">
      <c r="A140" s="1" t="s">
        <v>138</v>
      </c>
      <c r="B140" s="8"/>
      <c r="C140" s="1" t="s">
        <v>413</v>
      </c>
      <c r="D140" s="1" t="s">
        <v>427</v>
      </c>
      <c r="E140" s="10">
        <f>IFERROR(VLOOKUP(C140, [1]actualizado!A:B, 2, FALSE), E140)</f>
        <v>2370</v>
      </c>
      <c r="F140" s="11">
        <v>1</v>
      </c>
      <c r="G140" s="12">
        <f t="shared" si="10"/>
        <v>2370</v>
      </c>
      <c r="H140" s="7" t="s">
        <v>418</v>
      </c>
      <c r="I140" s="7" t="s">
        <v>416</v>
      </c>
      <c r="J140" s="7"/>
      <c r="K140" s="13" t="e">
        <f t="shared" ca="1" si="11"/>
        <v>#NAME?</v>
      </c>
    </row>
    <row r="141" spans="1:11">
      <c r="A141" s="4" t="s">
        <v>139</v>
      </c>
      <c r="B141" s="8"/>
      <c r="C141" s="1" t="s">
        <v>413</v>
      </c>
      <c r="D141" s="1" t="s">
        <v>427</v>
      </c>
      <c r="E141" s="10">
        <f>IFERROR(VLOOKUP(C141, [1]actualizado!A:B, 2, FALSE), E141)</f>
        <v>2370</v>
      </c>
      <c r="F141" s="11">
        <v>1</v>
      </c>
      <c r="G141" s="12">
        <f t="shared" si="10"/>
        <v>2370</v>
      </c>
      <c r="H141" s="7" t="s">
        <v>418</v>
      </c>
      <c r="I141" s="7" t="s">
        <v>416</v>
      </c>
      <c r="J141" s="7"/>
      <c r="K141" s="13" t="e">
        <f t="shared" ca="1" si="11"/>
        <v>#NAME?</v>
      </c>
    </row>
    <row r="142" spans="1:11">
      <c r="A142" s="4" t="s">
        <v>140</v>
      </c>
      <c r="B142" s="8"/>
      <c r="C142" s="1" t="s">
        <v>413</v>
      </c>
      <c r="D142" s="1" t="s">
        <v>427</v>
      </c>
      <c r="E142" s="10">
        <f>IFERROR(VLOOKUP(C142, [1]actualizado!A:B, 2, FALSE), E142)</f>
        <v>2370</v>
      </c>
      <c r="F142" s="11">
        <v>1</v>
      </c>
      <c r="G142" s="12">
        <f t="shared" si="10"/>
        <v>2370</v>
      </c>
      <c r="H142" s="7" t="s">
        <v>418</v>
      </c>
      <c r="I142" s="7" t="s">
        <v>416</v>
      </c>
      <c r="J142" s="7"/>
      <c r="K142" s="13" t="e">
        <f t="shared" ca="1" si="11"/>
        <v>#NAME?</v>
      </c>
    </row>
    <row r="143" spans="1:11">
      <c r="A143" s="4" t="s">
        <v>141</v>
      </c>
      <c r="B143" s="8"/>
      <c r="C143" s="1" t="s">
        <v>413</v>
      </c>
      <c r="D143" s="1" t="s">
        <v>427</v>
      </c>
      <c r="E143" s="10">
        <f>IFERROR(VLOOKUP(C143, [1]actualizado!A:B, 2, FALSE), E143)</f>
        <v>2370</v>
      </c>
      <c r="F143" s="11">
        <v>1</v>
      </c>
      <c r="G143" s="12">
        <f t="shared" si="10"/>
        <v>2370</v>
      </c>
      <c r="H143" s="7" t="s">
        <v>418</v>
      </c>
      <c r="I143" s="7" t="s">
        <v>416</v>
      </c>
      <c r="J143" s="7"/>
      <c r="K143" s="13" t="e">
        <f t="shared" ca="1" si="11"/>
        <v>#NAME?</v>
      </c>
    </row>
    <row r="144" spans="1:11">
      <c r="A144" s="4" t="s">
        <v>142</v>
      </c>
      <c r="B144" s="8"/>
      <c r="C144" s="1" t="s">
        <v>413</v>
      </c>
      <c r="D144" s="1" t="s">
        <v>427</v>
      </c>
      <c r="E144" s="10">
        <f>IFERROR(VLOOKUP(C144, [1]actualizado!A:B, 2, FALSE), E144)</f>
        <v>2370</v>
      </c>
      <c r="F144" s="11">
        <v>1</v>
      </c>
      <c r="G144" s="12">
        <f t="shared" si="10"/>
        <v>2370</v>
      </c>
      <c r="H144" s="7" t="s">
        <v>418</v>
      </c>
      <c r="I144" s="7" t="s">
        <v>416</v>
      </c>
      <c r="J144" s="7"/>
      <c r="K144" s="13" t="e">
        <f t="shared" ca="1" si="11"/>
        <v>#NAME?</v>
      </c>
    </row>
    <row r="145" spans="1:11">
      <c r="A145" s="4" t="s">
        <v>143</v>
      </c>
      <c r="B145" s="8"/>
      <c r="C145" s="1" t="s">
        <v>413</v>
      </c>
      <c r="D145" s="1" t="s">
        <v>427</v>
      </c>
      <c r="E145" s="10">
        <f>IFERROR(VLOOKUP(C145, [1]actualizado!A:B, 2, FALSE), E145)</f>
        <v>2370</v>
      </c>
      <c r="F145" s="11">
        <v>1</v>
      </c>
      <c r="G145" s="12">
        <f t="shared" si="10"/>
        <v>2370</v>
      </c>
      <c r="H145" s="7" t="s">
        <v>418</v>
      </c>
      <c r="I145" s="7" t="s">
        <v>416</v>
      </c>
      <c r="J145" s="7"/>
      <c r="K145" s="13" t="e">
        <f t="shared" ca="1" si="11"/>
        <v>#NAME?</v>
      </c>
    </row>
    <row r="146" spans="1:11">
      <c r="A146" s="4" t="s">
        <v>144</v>
      </c>
      <c r="B146" s="8"/>
      <c r="C146" s="1" t="s">
        <v>413</v>
      </c>
      <c r="D146" s="1" t="s">
        <v>427</v>
      </c>
      <c r="E146" s="10">
        <f>IFERROR(VLOOKUP(C146, [1]actualizado!A:B, 2, FALSE), E146)</f>
        <v>2370</v>
      </c>
      <c r="F146" s="11">
        <v>1</v>
      </c>
      <c r="G146" s="12">
        <f t="shared" si="10"/>
        <v>2370</v>
      </c>
      <c r="H146" s="7" t="s">
        <v>418</v>
      </c>
      <c r="I146" s="7" t="s">
        <v>416</v>
      </c>
      <c r="J146" s="7"/>
      <c r="K146" s="13" t="e">
        <f t="shared" ca="1" si="11"/>
        <v>#NAME?</v>
      </c>
    </row>
    <row r="147" spans="1:11">
      <c r="A147" s="4" t="s">
        <v>145</v>
      </c>
      <c r="B147" s="8"/>
      <c r="C147" s="1" t="s">
        <v>413</v>
      </c>
      <c r="D147" s="1" t="s">
        <v>427</v>
      </c>
      <c r="E147" s="10">
        <f>IFERROR(VLOOKUP(C147, [1]actualizado!A:B, 2, FALSE), E147)</f>
        <v>2370</v>
      </c>
      <c r="F147" s="11">
        <v>1</v>
      </c>
      <c r="G147" s="12">
        <f t="shared" si="10"/>
        <v>2370</v>
      </c>
      <c r="H147" s="7"/>
      <c r="I147" s="7"/>
      <c r="J147" s="7"/>
      <c r="K147" s="13"/>
    </row>
    <row r="148" spans="1:11">
      <c r="A148" s="4" t="s">
        <v>146</v>
      </c>
      <c r="B148" s="8"/>
      <c r="C148" s="1" t="s">
        <v>413</v>
      </c>
      <c r="D148" s="1" t="s">
        <v>427</v>
      </c>
      <c r="E148" s="10">
        <f>IFERROR(VLOOKUP(C148, [1]actualizado!A:B, 2, FALSE), E148)</f>
        <v>2370</v>
      </c>
      <c r="F148" s="11">
        <v>1</v>
      </c>
      <c r="G148" s="12">
        <f t="shared" si="10"/>
        <v>2370</v>
      </c>
      <c r="H148" s="7"/>
      <c r="I148" s="7"/>
      <c r="J148" s="7"/>
      <c r="K148" s="13"/>
    </row>
    <row r="149" spans="1:11">
      <c r="A149" s="1" t="s">
        <v>147</v>
      </c>
      <c r="B149" s="8"/>
      <c r="C149" s="1" t="s">
        <v>413</v>
      </c>
      <c r="D149" s="1" t="s">
        <v>427</v>
      </c>
      <c r="E149" s="10">
        <f>IFERROR(VLOOKUP(C149, [1]actualizado!A:B, 2, FALSE), E149)</f>
        <v>2370</v>
      </c>
      <c r="F149" s="11">
        <v>1</v>
      </c>
      <c r="G149" s="12">
        <f t="shared" si="10"/>
        <v>2370</v>
      </c>
      <c r="H149" s="7"/>
      <c r="I149" s="7"/>
      <c r="J149" s="7"/>
      <c r="K149" s="13"/>
    </row>
    <row r="150" spans="1:11">
      <c r="A150" s="1" t="s">
        <v>148</v>
      </c>
      <c r="B150" s="8"/>
      <c r="C150" s="1" t="s">
        <v>413</v>
      </c>
      <c r="D150" s="1" t="s">
        <v>427</v>
      </c>
      <c r="E150" s="10">
        <f>IFERROR(VLOOKUP(C150, [1]actualizado!A:B, 2, FALSE), E150)</f>
        <v>2370</v>
      </c>
      <c r="F150" s="11">
        <v>1</v>
      </c>
      <c r="G150" s="12">
        <f t="shared" si="10"/>
        <v>2370</v>
      </c>
      <c r="H150" s="7"/>
      <c r="I150" s="7"/>
      <c r="J150" s="7"/>
      <c r="K150" s="13"/>
    </row>
    <row r="151" spans="1:11">
      <c r="A151" s="1" t="s">
        <v>149</v>
      </c>
      <c r="B151" s="8"/>
      <c r="C151" s="1" t="s">
        <v>413</v>
      </c>
      <c r="D151" s="1" t="s">
        <v>427</v>
      </c>
      <c r="E151" s="10">
        <f>IFERROR(VLOOKUP(C151, [1]actualizado!A:B, 2, FALSE), E151)</f>
        <v>2370</v>
      </c>
      <c r="F151" s="11">
        <v>1</v>
      </c>
      <c r="G151" s="12">
        <f t="shared" si="10"/>
        <v>2370</v>
      </c>
      <c r="H151" s="7"/>
      <c r="I151" s="7"/>
      <c r="J151" s="7"/>
      <c r="K151" s="13"/>
    </row>
    <row r="152" spans="1:11">
      <c r="A152" s="1" t="s">
        <v>150</v>
      </c>
      <c r="B152" s="8"/>
      <c r="C152" s="1" t="s">
        <v>413</v>
      </c>
      <c r="D152" s="1" t="s">
        <v>427</v>
      </c>
      <c r="E152" s="10">
        <f>IFERROR(VLOOKUP(C152, [1]actualizado!A:B, 2, FALSE), E152)</f>
        <v>2370</v>
      </c>
      <c r="F152" s="11">
        <v>1</v>
      </c>
      <c r="G152" s="12">
        <f t="shared" si="10"/>
        <v>2370</v>
      </c>
      <c r="H152" s="7"/>
      <c r="I152" s="7"/>
      <c r="J152" s="7"/>
      <c r="K152" s="13"/>
    </row>
    <row r="153" spans="1:11">
      <c r="A153" s="1" t="s">
        <v>151</v>
      </c>
      <c r="B153" s="8"/>
      <c r="C153" s="1" t="s">
        <v>413</v>
      </c>
      <c r="D153" s="1" t="s">
        <v>427</v>
      </c>
      <c r="E153" s="10">
        <f>IFERROR(VLOOKUP(C153, [1]actualizado!A:B, 2, FALSE), E153)</f>
        <v>2370</v>
      </c>
      <c r="F153" s="11">
        <v>1</v>
      </c>
      <c r="G153" s="12">
        <f t="shared" si="10"/>
        <v>2370</v>
      </c>
      <c r="H153" s="7"/>
      <c r="I153" s="7"/>
      <c r="J153" s="7"/>
      <c r="K153" s="13"/>
    </row>
    <row r="154" spans="1:11">
      <c r="A154" s="1" t="s">
        <v>152</v>
      </c>
      <c r="B154" s="8"/>
      <c r="C154" s="1" t="s">
        <v>413</v>
      </c>
      <c r="D154" s="1" t="s">
        <v>427</v>
      </c>
      <c r="E154" s="10">
        <f>IFERROR(VLOOKUP(C154, [1]actualizado!A:B, 2, FALSE), E154)</f>
        <v>2370</v>
      </c>
      <c r="F154" s="11">
        <v>1</v>
      </c>
      <c r="G154" s="12">
        <f t="shared" si="10"/>
        <v>2370</v>
      </c>
      <c r="H154" s="7" t="s">
        <v>418</v>
      </c>
      <c r="I154" s="7" t="s">
        <v>416</v>
      </c>
      <c r="J154" s="7"/>
      <c r="K154" s="13" t="e">
        <f ca="1">_xludf.IFS(H154="SI",J154/F154,H154="NO",1)</f>
        <v>#NAME?</v>
      </c>
    </row>
    <row r="155" spans="1:11">
      <c r="A155" s="1" t="s">
        <v>153</v>
      </c>
      <c r="B155" s="8"/>
      <c r="C155" s="1" t="s">
        <v>413</v>
      </c>
      <c r="D155" s="1" t="s">
        <v>427</v>
      </c>
      <c r="E155" s="10">
        <f>IFERROR(VLOOKUP(C155, [1]actualizado!A:B, 2, FALSE), E155)</f>
        <v>2370</v>
      </c>
      <c r="F155" s="11">
        <v>1</v>
      </c>
      <c r="G155" s="12">
        <f t="shared" si="10"/>
        <v>2370</v>
      </c>
      <c r="H155" s="7"/>
      <c r="I155" s="7"/>
      <c r="J155" s="7"/>
      <c r="K155" s="13"/>
    </row>
    <row r="156" spans="1:11">
      <c r="A156" s="1" t="s">
        <v>154</v>
      </c>
      <c r="B156" s="8"/>
      <c r="C156" s="1" t="s">
        <v>413</v>
      </c>
      <c r="D156" s="1" t="s">
        <v>427</v>
      </c>
      <c r="E156" s="10">
        <f>IFERROR(VLOOKUP(C156, [1]actualizado!A:B, 2, FALSE), E156)</f>
        <v>2370</v>
      </c>
      <c r="F156" s="11">
        <v>1</v>
      </c>
      <c r="G156" s="12">
        <f t="shared" si="10"/>
        <v>2370</v>
      </c>
      <c r="H156" s="7"/>
      <c r="I156" s="7"/>
      <c r="J156" s="7"/>
      <c r="K156" s="13"/>
    </row>
    <row r="157" spans="1:11">
      <c r="A157" s="1" t="s">
        <v>155</v>
      </c>
      <c r="B157" s="8"/>
      <c r="C157" s="1" t="s">
        <v>413</v>
      </c>
      <c r="D157" s="1" t="s">
        <v>427</v>
      </c>
      <c r="E157" s="10">
        <f>IFERROR(VLOOKUP(C157, [1]actualizado!A:B, 2, FALSE), E157)</f>
        <v>2370</v>
      </c>
      <c r="F157" s="11">
        <v>1</v>
      </c>
      <c r="G157" s="12">
        <f t="shared" si="10"/>
        <v>2370</v>
      </c>
      <c r="H157" s="7"/>
      <c r="I157" s="7"/>
      <c r="J157" s="7"/>
      <c r="K157" s="13"/>
    </row>
    <row r="158" spans="1:11">
      <c r="A158" s="1" t="s">
        <v>156</v>
      </c>
      <c r="B158" s="8"/>
      <c r="C158" s="1" t="s">
        <v>413</v>
      </c>
      <c r="D158" s="1" t="s">
        <v>427</v>
      </c>
      <c r="E158" s="10">
        <f>IFERROR(VLOOKUP(C158, [1]actualizado!A:B, 2, FALSE), E158)</f>
        <v>2370</v>
      </c>
      <c r="F158" s="11">
        <v>1</v>
      </c>
      <c r="G158" s="12">
        <f t="shared" si="10"/>
        <v>2370</v>
      </c>
      <c r="H158" s="7" t="s">
        <v>418</v>
      </c>
      <c r="I158" s="7" t="s">
        <v>416</v>
      </c>
      <c r="J158" s="7"/>
      <c r="K158" s="13" t="e">
        <f ca="1">_xludf.IFS(H158="SI",J158/F158,H158="NO",1)</f>
        <v>#NAME?</v>
      </c>
    </row>
    <row r="159" spans="1:11">
      <c r="A159" s="1" t="s">
        <v>157</v>
      </c>
      <c r="B159" s="8"/>
      <c r="C159" s="1" t="s">
        <v>413</v>
      </c>
      <c r="D159" s="1" t="s">
        <v>427</v>
      </c>
      <c r="E159" s="10">
        <f>IFERROR(VLOOKUP(C159, [1]actualizado!A:B, 2, FALSE), E159)</f>
        <v>2370</v>
      </c>
      <c r="F159" s="11">
        <v>1</v>
      </c>
      <c r="G159" s="12">
        <f t="shared" si="10"/>
        <v>2370</v>
      </c>
      <c r="H159" s="7"/>
      <c r="I159" s="7"/>
      <c r="J159" s="7"/>
      <c r="K159" s="13"/>
    </row>
    <row r="160" spans="1:11">
      <c r="A160" s="1" t="s">
        <v>158</v>
      </c>
      <c r="B160" s="8"/>
      <c r="C160" s="1" t="s">
        <v>413</v>
      </c>
      <c r="D160" s="1" t="s">
        <v>427</v>
      </c>
      <c r="E160" s="10">
        <f>IFERROR(VLOOKUP(C160, [1]actualizado!A:B, 2, FALSE), E160)</f>
        <v>2370</v>
      </c>
      <c r="F160" s="11">
        <v>1</v>
      </c>
      <c r="G160" s="12">
        <f t="shared" si="10"/>
        <v>2370</v>
      </c>
      <c r="H160" s="7"/>
      <c r="I160" s="7"/>
      <c r="J160" s="7"/>
      <c r="K160" s="13"/>
    </row>
    <row r="161" spans="1:11">
      <c r="A161" s="2" t="s">
        <v>159</v>
      </c>
      <c r="B161" s="8"/>
      <c r="C161" s="1" t="s">
        <v>413</v>
      </c>
      <c r="D161" s="1" t="s">
        <v>427</v>
      </c>
      <c r="E161" s="10">
        <f>IFERROR(VLOOKUP(C161, [1]actualizado!A:B, 2, FALSE), E161)</f>
        <v>2370</v>
      </c>
      <c r="F161" s="11">
        <v>1</v>
      </c>
      <c r="G161" s="12">
        <f t="shared" si="10"/>
        <v>2370</v>
      </c>
      <c r="H161" s="7" t="s">
        <v>418</v>
      </c>
      <c r="I161" s="7" t="s">
        <v>416</v>
      </c>
      <c r="J161" s="7"/>
      <c r="K161" s="13" t="e">
        <f t="shared" ref="K161:K163" ca="1" si="12">_xludf.IFS(H161="SI",J161/F161,H161="NO",1)</f>
        <v>#NAME?</v>
      </c>
    </row>
    <row r="162" spans="1:11">
      <c r="A162" s="2" t="s">
        <v>160</v>
      </c>
      <c r="B162" s="8"/>
      <c r="C162" s="1" t="s">
        <v>413</v>
      </c>
      <c r="D162" s="1" t="s">
        <v>427</v>
      </c>
      <c r="E162" s="10">
        <f>IFERROR(VLOOKUP(C162, [1]actualizado!A:B, 2, FALSE), E162)</f>
        <v>2370</v>
      </c>
      <c r="F162" s="11">
        <v>1</v>
      </c>
      <c r="G162" s="12">
        <f t="shared" si="10"/>
        <v>2370</v>
      </c>
      <c r="H162" s="7" t="s">
        <v>418</v>
      </c>
      <c r="I162" s="7" t="s">
        <v>416</v>
      </c>
      <c r="J162" s="7"/>
      <c r="K162" s="13" t="e">
        <f t="shared" ca="1" si="12"/>
        <v>#NAME?</v>
      </c>
    </row>
    <row r="163" spans="1:11">
      <c r="A163" s="2" t="s">
        <v>161</v>
      </c>
      <c r="B163" s="8"/>
      <c r="C163" s="1" t="s">
        <v>413</v>
      </c>
      <c r="D163" s="1" t="s">
        <v>427</v>
      </c>
      <c r="E163" s="10">
        <f>IFERROR(VLOOKUP(C163, [1]actualizado!A:B, 2, FALSE), E163)</f>
        <v>2370</v>
      </c>
      <c r="F163" s="11">
        <v>1</v>
      </c>
      <c r="G163" s="12">
        <f t="shared" si="10"/>
        <v>2370</v>
      </c>
      <c r="H163" s="7" t="s">
        <v>418</v>
      </c>
      <c r="I163" s="7" t="s">
        <v>416</v>
      </c>
      <c r="J163" s="7"/>
      <c r="K163" s="13" t="e">
        <f t="shared" ca="1" si="12"/>
        <v>#NAME?</v>
      </c>
    </row>
    <row r="164" spans="1:11">
      <c r="A164" s="2" t="s">
        <v>162</v>
      </c>
      <c r="B164" s="8"/>
      <c r="C164" s="1" t="s">
        <v>413</v>
      </c>
      <c r="D164" s="1" t="s">
        <v>427</v>
      </c>
      <c r="E164" s="10">
        <f>IFERROR(VLOOKUP(C164, [1]actualizado!A:B, 2, FALSE), E164)</f>
        <v>2370</v>
      </c>
      <c r="F164" s="11">
        <v>1</v>
      </c>
      <c r="G164" s="12">
        <f t="shared" si="10"/>
        <v>2370</v>
      </c>
      <c r="H164" s="7"/>
      <c r="I164" s="7"/>
      <c r="J164" s="7"/>
      <c r="K164" s="13"/>
    </row>
    <row r="165" spans="1:11">
      <c r="A165" s="1" t="s">
        <v>163</v>
      </c>
      <c r="B165" s="8"/>
      <c r="C165" s="1" t="s">
        <v>413</v>
      </c>
      <c r="D165" s="1" t="s">
        <v>427</v>
      </c>
      <c r="E165" s="10">
        <f>IFERROR(VLOOKUP(C165, [1]actualizado!A:B, 2, FALSE), E165)</f>
        <v>2370</v>
      </c>
      <c r="F165" s="11">
        <v>1</v>
      </c>
      <c r="G165" s="12">
        <f t="shared" si="10"/>
        <v>2370</v>
      </c>
      <c r="H165" s="7" t="s">
        <v>418</v>
      </c>
      <c r="I165" s="7" t="s">
        <v>416</v>
      </c>
      <c r="J165" s="7"/>
      <c r="K165" s="13" t="e">
        <f t="shared" ref="K165:K166" ca="1" si="13">_xludf.IFS(H165="SI",J165/F165,H165="NO",1)</f>
        <v>#NAME?</v>
      </c>
    </row>
    <row r="166" spans="1:11">
      <c r="A166" s="1" t="s">
        <v>164</v>
      </c>
      <c r="B166" s="8"/>
      <c r="C166" s="1" t="s">
        <v>413</v>
      </c>
      <c r="D166" s="1" t="s">
        <v>427</v>
      </c>
      <c r="E166" s="10">
        <f>IFERROR(VLOOKUP(C166, [1]actualizado!A:B, 2, FALSE), E166)</f>
        <v>2370</v>
      </c>
      <c r="F166" s="11">
        <v>1</v>
      </c>
      <c r="G166" s="12">
        <f t="shared" si="10"/>
        <v>2370</v>
      </c>
      <c r="H166" s="7" t="s">
        <v>418</v>
      </c>
      <c r="I166" s="7" t="s">
        <v>416</v>
      </c>
      <c r="J166" s="7"/>
      <c r="K166" s="13" t="e">
        <f t="shared" ca="1" si="13"/>
        <v>#NAME?</v>
      </c>
    </row>
    <row r="167" spans="1:11">
      <c r="A167" s="1" t="s">
        <v>165</v>
      </c>
      <c r="B167" s="8"/>
      <c r="C167" s="1" t="s">
        <v>413</v>
      </c>
      <c r="D167" s="1" t="s">
        <v>427</v>
      </c>
      <c r="E167" s="10">
        <f>IFERROR(VLOOKUP(C167, [1]actualizado!A:B, 2, FALSE), E167)</f>
        <v>2370</v>
      </c>
      <c r="F167" s="11">
        <v>1</v>
      </c>
      <c r="G167" s="12">
        <f t="shared" si="10"/>
        <v>2370</v>
      </c>
      <c r="H167" s="7"/>
      <c r="I167" s="7"/>
      <c r="J167" s="7"/>
      <c r="K167" s="13"/>
    </row>
    <row r="168" spans="1:11">
      <c r="A168" s="1" t="s">
        <v>166</v>
      </c>
      <c r="B168" s="8"/>
      <c r="C168" s="1" t="s">
        <v>413</v>
      </c>
      <c r="D168" s="1" t="s">
        <v>427</v>
      </c>
      <c r="E168" s="10">
        <f>IFERROR(VLOOKUP(C168, [1]actualizado!A:B, 2, FALSE), E168)</f>
        <v>2370</v>
      </c>
      <c r="F168" s="11">
        <v>1</v>
      </c>
      <c r="G168" s="12">
        <f t="shared" si="10"/>
        <v>2370</v>
      </c>
      <c r="H168" s="7" t="s">
        <v>418</v>
      </c>
      <c r="I168" s="7" t="s">
        <v>416</v>
      </c>
      <c r="J168" s="7"/>
      <c r="K168" s="13" t="e">
        <f ca="1">_xludf.IFS(H168="SI",J168/F168,H168="NO",1)</f>
        <v>#NAME?</v>
      </c>
    </row>
    <row r="169" spans="1:11">
      <c r="A169" s="4" t="s">
        <v>167</v>
      </c>
      <c r="B169" s="8"/>
      <c r="C169" s="1" t="s">
        <v>413</v>
      </c>
      <c r="D169" s="1" t="s">
        <v>427</v>
      </c>
      <c r="E169" s="10">
        <f>IFERROR(VLOOKUP(C169, [1]actualizado!A:B, 2, FALSE), E169)</f>
        <v>2370</v>
      </c>
      <c r="F169" s="11">
        <v>1</v>
      </c>
      <c r="G169" s="12">
        <f t="shared" si="10"/>
        <v>2370</v>
      </c>
      <c r="H169" s="7"/>
      <c r="I169" s="7"/>
      <c r="J169" s="7"/>
      <c r="K169" s="13"/>
    </row>
    <row r="170" spans="1:11">
      <c r="A170" s="4" t="s">
        <v>168</v>
      </c>
      <c r="B170" s="8"/>
      <c r="C170" s="1" t="s">
        <v>413</v>
      </c>
      <c r="D170" s="1" t="s">
        <v>427</v>
      </c>
      <c r="E170" s="10">
        <f>IFERROR(VLOOKUP(C170, [1]actualizado!A:B, 2, FALSE), E170)</f>
        <v>2370</v>
      </c>
      <c r="F170" s="11">
        <v>1</v>
      </c>
      <c r="G170" s="12">
        <f t="shared" si="10"/>
        <v>2370</v>
      </c>
      <c r="H170" s="7"/>
      <c r="I170" s="7"/>
      <c r="J170" s="7"/>
      <c r="K170" s="13"/>
    </row>
    <row r="171" spans="1:11">
      <c r="A171" s="4" t="s">
        <v>169</v>
      </c>
      <c r="B171" s="8"/>
      <c r="C171" s="1" t="s">
        <v>413</v>
      </c>
      <c r="D171" s="1" t="s">
        <v>427</v>
      </c>
      <c r="E171" s="10">
        <f>IFERROR(VLOOKUP(C171, [1]actualizado!A:B, 2, FALSE), E171)</f>
        <v>2370</v>
      </c>
      <c r="F171" s="11">
        <v>1</v>
      </c>
      <c r="G171" s="12">
        <f t="shared" si="10"/>
        <v>2370</v>
      </c>
      <c r="H171" s="7"/>
      <c r="I171" s="7"/>
      <c r="J171" s="7"/>
      <c r="K171" s="13"/>
    </row>
    <row r="172" spans="1:11">
      <c r="A172" s="1" t="s">
        <v>170</v>
      </c>
      <c r="B172" s="8"/>
      <c r="C172" s="1" t="s">
        <v>413</v>
      </c>
      <c r="D172" s="1" t="s">
        <v>427</v>
      </c>
      <c r="E172" s="10">
        <f>IFERROR(VLOOKUP(C172, [1]actualizado!A:B, 2, FALSE), E172)</f>
        <v>2370</v>
      </c>
      <c r="F172" s="11">
        <v>1</v>
      </c>
      <c r="G172" s="12">
        <f t="shared" si="10"/>
        <v>2370</v>
      </c>
      <c r="H172" s="7"/>
      <c r="I172" s="7"/>
      <c r="J172" s="7"/>
      <c r="K172" s="13"/>
    </row>
    <row r="173" spans="1:11">
      <c r="A173" s="2" t="s">
        <v>171</v>
      </c>
      <c r="B173" s="8"/>
      <c r="C173" s="1" t="s">
        <v>413</v>
      </c>
      <c r="D173" s="1" t="s">
        <v>427</v>
      </c>
      <c r="E173" s="10">
        <f>IFERROR(VLOOKUP(C173, [1]actualizado!A:B, 2, FALSE), E173)</f>
        <v>2370</v>
      </c>
      <c r="F173" s="11">
        <v>1</v>
      </c>
      <c r="G173" s="12">
        <f t="shared" si="10"/>
        <v>2370</v>
      </c>
      <c r="H173" s="7" t="s">
        <v>418</v>
      </c>
      <c r="I173" s="7" t="s">
        <v>416</v>
      </c>
      <c r="J173" s="7"/>
      <c r="K173" s="13" t="e">
        <f t="shared" ref="K173:K174" ca="1" si="14">_xludf.IFS(H173="SI",J173/F173,H173="NO",1)</f>
        <v>#NAME?</v>
      </c>
    </row>
    <row r="174" spans="1:11">
      <c r="A174" s="2" t="s">
        <v>172</v>
      </c>
      <c r="B174" s="8"/>
      <c r="C174" s="1" t="s">
        <v>413</v>
      </c>
      <c r="D174" s="1" t="s">
        <v>427</v>
      </c>
      <c r="E174" s="10">
        <f>IFERROR(VLOOKUP(C174, [1]actualizado!A:B, 2, FALSE), E174)</f>
        <v>2370</v>
      </c>
      <c r="F174" s="11">
        <v>1</v>
      </c>
      <c r="G174" s="12">
        <f t="shared" si="10"/>
        <v>2370</v>
      </c>
      <c r="H174" s="7" t="s">
        <v>418</v>
      </c>
      <c r="I174" s="7" t="s">
        <v>416</v>
      </c>
      <c r="J174" s="7"/>
      <c r="K174" s="13" t="e">
        <f t="shared" ca="1" si="14"/>
        <v>#NAME?</v>
      </c>
    </row>
    <row r="175" spans="1:11">
      <c r="A175" s="2" t="s">
        <v>173</v>
      </c>
      <c r="B175" s="8"/>
      <c r="C175" s="1" t="s">
        <v>413</v>
      </c>
      <c r="D175" s="1" t="s">
        <v>427</v>
      </c>
      <c r="E175" s="10">
        <f>IFERROR(VLOOKUP(C175, [1]actualizado!A:B, 2, FALSE), E175)</f>
        <v>2370</v>
      </c>
      <c r="F175" s="11">
        <v>1</v>
      </c>
      <c r="G175" s="12">
        <f t="shared" si="10"/>
        <v>2370</v>
      </c>
      <c r="H175" s="7"/>
      <c r="I175" s="7"/>
      <c r="J175" s="7"/>
      <c r="K175" s="13"/>
    </row>
    <row r="176" spans="1:11">
      <c r="A176" s="2" t="s">
        <v>174</v>
      </c>
      <c r="B176" s="8"/>
      <c r="C176" s="1" t="s">
        <v>413</v>
      </c>
      <c r="D176" s="1" t="s">
        <v>427</v>
      </c>
      <c r="E176" s="10">
        <f>IFERROR(VLOOKUP(C176, [1]actualizado!A:B, 2, FALSE), E176)</f>
        <v>2370</v>
      </c>
      <c r="F176" s="11">
        <v>1</v>
      </c>
      <c r="G176" s="12">
        <f t="shared" si="10"/>
        <v>2370</v>
      </c>
      <c r="H176" s="7"/>
      <c r="I176" s="7"/>
      <c r="J176" s="7"/>
      <c r="K176" s="13"/>
    </row>
    <row r="177" spans="1:11">
      <c r="A177" s="2" t="s">
        <v>175</v>
      </c>
      <c r="B177" s="8"/>
      <c r="C177" s="1" t="s">
        <v>413</v>
      </c>
      <c r="D177" s="1" t="s">
        <v>427</v>
      </c>
      <c r="E177" s="10">
        <f>IFERROR(VLOOKUP(C177, [1]actualizado!A:B, 2, FALSE), E177)</f>
        <v>2370</v>
      </c>
      <c r="F177" s="11">
        <v>1</v>
      </c>
      <c r="G177" s="12">
        <f t="shared" si="10"/>
        <v>2370</v>
      </c>
      <c r="H177" s="7"/>
      <c r="I177" s="7"/>
      <c r="J177" s="7"/>
      <c r="K177" s="13"/>
    </row>
    <row r="178" spans="1:11">
      <c r="A178" s="2" t="s">
        <v>176</v>
      </c>
      <c r="B178" s="8"/>
      <c r="C178" s="1" t="s">
        <v>413</v>
      </c>
      <c r="D178" s="1" t="s">
        <v>427</v>
      </c>
      <c r="E178" s="10">
        <f>IFERROR(VLOOKUP(C178, [1]actualizado!A:B, 2, FALSE), E178)</f>
        <v>2370</v>
      </c>
      <c r="F178" s="11">
        <v>1</v>
      </c>
      <c r="G178" s="12">
        <f t="shared" si="10"/>
        <v>2370</v>
      </c>
      <c r="H178" s="7" t="s">
        <v>418</v>
      </c>
      <c r="I178" s="7" t="s">
        <v>416</v>
      </c>
      <c r="J178" s="7"/>
      <c r="K178" s="13" t="e">
        <f ca="1">_xludf.IFS(H178="SI",J178/F178,H178="NO",1)</f>
        <v>#NAME?</v>
      </c>
    </row>
    <row r="179" spans="1:11">
      <c r="A179" s="1" t="s">
        <v>177</v>
      </c>
      <c r="B179" s="8"/>
      <c r="C179" s="1" t="s">
        <v>413</v>
      </c>
      <c r="D179" s="1" t="s">
        <v>427</v>
      </c>
      <c r="E179" s="10">
        <f>IFERROR(VLOOKUP(C179, [1]actualizado!A:B, 2, FALSE), E179)</f>
        <v>2370</v>
      </c>
      <c r="F179" s="11">
        <v>1</v>
      </c>
      <c r="G179" s="12">
        <f t="shared" si="10"/>
        <v>2370</v>
      </c>
      <c r="H179" s="7"/>
      <c r="I179" s="7"/>
      <c r="J179" s="7"/>
      <c r="K179" s="13"/>
    </row>
    <row r="180" spans="1:11">
      <c r="A180" s="1" t="s">
        <v>178</v>
      </c>
      <c r="B180" s="8"/>
      <c r="C180" s="1" t="s">
        <v>413</v>
      </c>
      <c r="D180" s="1" t="s">
        <v>428</v>
      </c>
      <c r="E180" s="10">
        <f>IFERROR(VLOOKUP(C180, [1]actualizado!A:B, 2, FALSE), E180)</f>
        <v>2370</v>
      </c>
      <c r="F180" s="11">
        <v>1</v>
      </c>
      <c r="G180" s="12">
        <f t="shared" si="10"/>
        <v>2370</v>
      </c>
      <c r="H180" s="7"/>
      <c r="I180" s="7"/>
      <c r="J180" s="7"/>
      <c r="K180" s="13"/>
    </row>
    <row r="181" spans="1:11">
      <c r="A181" s="5" t="s">
        <v>179</v>
      </c>
      <c r="B181" s="8"/>
      <c r="C181" s="1" t="s">
        <v>413</v>
      </c>
      <c r="D181" s="1" t="s">
        <v>428</v>
      </c>
      <c r="E181" s="10">
        <f>IFERROR(VLOOKUP(C181, [1]actualizado!A:B, 2, FALSE), E181)</f>
        <v>2370</v>
      </c>
      <c r="F181" s="11">
        <v>48</v>
      </c>
      <c r="G181" s="12">
        <f t="shared" si="10"/>
        <v>49.375</v>
      </c>
      <c r="H181" s="7"/>
      <c r="I181" s="7"/>
      <c r="J181" s="7"/>
      <c r="K181" s="13"/>
    </row>
    <row r="182" spans="1:11">
      <c r="A182" s="5" t="s">
        <v>180</v>
      </c>
      <c r="B182" s="8"/>
      <c r="C182" s="1" t="s">
        <v>413</v>
      </c>
      <c r="D182" s="1" t="s">
        <v>428</v>
      </c>
      <c r="E182" s="10">
        <f>IFERROR(VLOOKUP(C182, [1]actualizado!A:B, 2, FALSE), E182)</f>
        <v>2370</v>
      </c>
      <c r="F182" s="11">
        <v>48</v>
      </c>
      <c r="G182" s="12">
        <f t="shared" si="10"/>
        <v>49.375</v>
      </c>
      <c r="H182" s="7"/>
      <c r="I182" s="7"/>
      <c r="J182" s="7"/>
      <c r="K182" s="13"/>
    </row>
    <row r="183" spans="1:11">
      <c r="A183" s="5" t="s">
        <v>181</v>
      </c>
      <c r="B183" s="8"/>
      <c r="C183" s="1" t="s">
        <v>413</v>
      </c>
      <c r="D183" s="1" t="s">
        <v>428</v>
      </c>
      <c r="E183" s="10">
        <f>IFERROR(VLOOKUP(C183, [1]actualizado!A:B, 2, FALSE), E183)</f>
        <v>2370</v>
      </c>
      <c r="F183" s="11">
        <v>15</v>
      </c>
      <c r="G183" s="12">
        <f t="shared" si="10"/>
        <v>158</v>
      </c>
      <c r="H183" s="7"/>
      <c r="I183" s="7"/>
      <c r="J183" s="7"/>
      <c r="K183" s="13"/>
    </row>
    <row r="184" spans="1:11">
      <c r="A184" s="5" t="s">
        <v>182</v>
      </c>
      <c r="B184" s="8"/>
      <c r="C184" s="1" t="s">
        <v>413</v>
      </c>
      <c r="D184" s="1" t="s">
        <v>428</v>
      </c>
      <c r="E184" s="10">
        <f>IFERROR(VLOOKUP(C184, [1]actualizado!A:B, 2, FALSE), E184)</f>
        <v>2370</v>
      </c>
      <c r="F184" s="11">
        <v>20</v>
      </c>
      <c r="G184" s="12">
        <f t="shared" si="10"/>
        <v>118.5</v>
      </c>
      <c r="H184" s="7"/>
      <c r="I184" s="7"/>
      <c r="J184" s="7"/>
      <c r="K184" s="13"/>
    </row>
    <row r="185" spans="1:11">
      <c r="A185" s="5" t="s">
        <v>183</v>
      </c>
      <c r="B185" s="8"/>
      <c r="C185" s="1" t="s">
        <v>413</v>
      </c>
      <c r="D185" s="1" t="s">
        <v>428</v>
      </c>
      <c r="E185" s="10">
        <f>IFERROR(VLOOKUP(C185, [1]actualizado!A:B, 2, FALSE), E185)</f>
        <v>2370</v>
      </c>
      <c r="F185" s="11">
        <v>20</v>
      </c>
      <c r="G185" s="12">
        <f t="shared" si="10"/>
        <v>118.5</v>
      </c>
      <c r="H185" s="7"/>
      <c r="I185" s="7"/>
      <c r="J185" s="7"/>
      <c r="K185" s="13"/>
    </row>
    <row r="186" spans="1:11">
      <c r="A186" s="5" t="s">
        <v>184</v>
      </c>
      <c r="B186" s="8"/>
      <c r="C186" s="1" t="s">
        <v>413</v>
      </c>
      <c r="D186" s="1" t="s">
        <v>428</v>
      </c>
      <c r="E186" s="10">
        <f>IFERROR(VLOOKUP(C186, [1]actualizado!A:B, 2, FALSE), E186)</f>
        <v>2370</v>
      </c>
      <c r="F186" s="11">
        <v>24</v>
      </c>
      <c r="G186" s="12">
        <f t="shared" si="10"/>
        <v>98.75</v>
      </c>
      <c r="H186" s="7"/>
      <c r="I186" s="7"/>
      <c r="J186" s="7"/>
      <c r="K186" s="13"/>
    </row>
    <row r="187" spans="1:11">
      <c r="A187" s="5" t="s">
        <v>185</v>
      </c>
      <c r="B187" s="8"/>
      <c r="C187" s="1" t="s">
        <v>413</v>
      </c>
      <c r="D187" s="1" t="s">
        <v>428</v>
      </c>
      <c r="E187" s="10">
        <f>IFERROR(VLOOKUP(C187, [1]actualizado!A:B, 2, FALSE), E187)</f>
        <v>2370</v>
      </c>
      <c r="F187" s="11">
        <v>36</v>
      </c>
      <c r="G187" s="12">
        <f t="shared" si="10"/>
        <v>65.833333333333329</v>
      </c>
      <c r="H187" s="7"/>
      <c r="I187" s="7"/>
      <c r="J187" s="7"/>
      <c r="K187" s="13"/>
    </row>
    <row r="188" spans="1:11">
      <c r="A188" s="5" t="s">
        <v>186</v>
      </c>
      <c r="B188" s="8"/>
      <c r="C188" s="1" t="s">
        <v>413</v>
      </c>
      <c r="D188" s="1" t="s">
        <v>428</v>
      </c>
      <c r="E188" s="10">
        <f>IFERROR(VLOOKUP(C188, [1]actualizado!A:B, 2, FALSE), E188)</f>
        <v>2370</v>
      </c>
      <c r="F188" s="11">
        <v>30</v>
      </c>
      <c r="G188" s="12">
        <f t="shared" si="10"/>
        <v>79</v>
      </c>
      <c r="H188" s="7"/>
      <c r="I188" s="7"/>
      <c r="J188" s="7"/>
      <c r="K188" s="13"/>
    </row>
    <row r="189" spans="1:11">
      <c r="A189" s="5" t="s">
        <v>187</v>
      </c>
      <c r="B189" s="8"/>
      <c r="C189" s="1" t="s">
        <v>413</v>
      </c>
      <c r="D189" s="1" t="s">
        <v>428</v>
      </c>
      <c r="E189" s="10">
        <f>IFERROR(VLOOKUP(C189, [1]actualizado!A:B, 2, FALSE), E189)</f>
        <v>2370</v>
      </c>
      <c r="F189" s="11">
        <v>15</v>
      </c>
      <c r="G189" s="12">
        <f t="shared" si="10"/>
        <v>158</v>
      </c>
      <c r="H189" s="7"/>
      <c r="I189" s="7"/>
      <c r="J189" s="7"/>
      <c r="K189" s="13"/>
    </row>
    <row r="190" spans="1:11">
      <c r="A190" s="5" t="s">
        <v>188</v>
      </c>
      <c r="B190" s="8"/>
      <c r="C190" s="1" t="s">
        <v>413</v>
      </c>
      <c r="D190" s="1" t="s">
        <v>428</v>
      </c>
      <c r="E190" s="10">
        <f>IFERROR(VLOOKUP(C190, [1]actualizado!A:B, 2, FALSE), E190)</f>
        <v>2370</v>
      </c>
      <c r="F190" s="11">
        <v>10</v>
      </c>
      <c r="G190" s="12">
        <f t="shared" si="10"/>
        <v>237</v>
      </c>
      <c r="H190" s="7"/>
      <c r="I190" s="7"/>
      <c r="J190" s="7"/>
      <c r="K190" s="13"/>
    </row>
    <row r="191" spans="1:11">
      <c r="A191" s="5" t="s">
        <v>189</v>
      </c>
      <c r="B191" s="8"/>
      <c r="C191" s="1" t="s">
        <v>413</v>
      </c>
      <c r="D191" s="1" t="s">
        <v>428</v>
      </c>
      <c r="E191" s="10">
        <f>IFERROR(VLOOKUP(C191, [1]actualizado!A:B, 2, FALSE), E191)</f>
        <v>2370</v>
      </c>
      <c r="F191" s="11">
        <v>10</v>
      </c>
      <c r="G191" s="12">
        <f t="shared" si="10"/>
        <v>237</v>
      </c>
      <c r="H191" s="7"/>
      <c r="I191" s="7"/>
      <c r="J191" s="7"/>
      <c r="K191" s="13"/>
    </row>
    <row r="192" spans="1:11">
      <c r="A192" s="6" t="s">
        <v>190</v>
      </c>
      <c r="B192" s="8"/>
      <c r="C192" s="1" t="s">
        <v>413</v>
      </c>
      <c r="D192" s="1" t="s">
        <v>428</v>
      </c>
      <c r="E192" s="10">
        <f>IFERROR(VLOOKUP(C192, [1]actualizado!A:B, 2, FALSE), E192)</f>
        <v>2370</v>
      </c>
      <c r="F192" s="11">
        <v>10</v>
      </c>
      <c r="G192" s="12">
        <f t="shared" si="10"/>
        <v>237</v>
      </c>
      <c r="H192" s="7" t="s">
        <v>418</v>
      </c>
      <c r="I192" s="7" t="s">
        <v>416</v>
      </c>
      <c r="J192" s="7"/>
      <c r="K192" s="13" t="e">
        <f ca="1">_xludf.IFS(H192="SI",J192/F192,H192="NO",1)</f>
        <v>#NAME?</v>
      </c>
    </row>
    <row r="193" spans="1:11">
      <c r="A193" s="2" t="s">
        <v>191</v>
      </c>
      <c r="B193" s="8"/>
      <c r="C193" s="1" t="s">
        <v>413</v>
      </c>
      <c r="D193" s="1" t="s">
        <v>428</v>
      </c>
      <c r="E193" s="10">
        <f>IFERROR(VLOOKUP(C193, [1]actualizado!A:B, 2, FALSE), E193)</f>
        <v>2370</v>
      </c>
      <c r="F193" s="11">
        <v>1</v>
      </c>
      <c r="G193" s="12">
        <f t="shared" si="10"/>
        <v>2370</v>
      </c>
      <c r="H193" s="7"/>
      <c r="I193" s="7"/>
      <c r="J193" s="7"/>
      <c r="K193" s="13"/>
    </row>
    <row r="194" spans="1:11">
      <c r="A194" s="2" t="s">
        <v>192</v>
      </c>
      <c r="B194" s="8"/>
      <c r="C194" s="1" t="s">
        <v>413</v>
      </c>
      <c r="D194" s="1" t="s">
        <v>428</v>
      </c>
      <c r="E194" s="10">
        <f>IFERROR(VLOOKUP(C194, [1]actualizado!A:B, 2, FALSE), E194)</f>
        <v>2370</v>
      </c>
      <c r="F194" s="11">
        <v>1</v>
      </c>
      <c r="G194" s="12">
        <f t="shared" si="10"/>
        <v>2370</v>
      </c>
      <c r="H194" s="7" t="s">
        <v>418</v>
      </c>
      <c r="I194" s="7" t="s">
        <v>416</v>
      </c>
      <c r="J194" s="7"/>
      <c r="K194" s="13" t="e">
        <f t="shared" ref="K194:K198" ca="1" si="15">_xludf.IFS(H194="SI",J194/F194,H194="NO",1)</f>
        <v>#NAME?</v>
      </c>
    </row>
    <row r="195" spans="1:11">
      <c r="A195" s="2" t="s">
        <v>193</v>
      </c>
      <c r="B195" s="8"/>
      <c r="C195" s="1" t="s">
        <v>413</v>
      </c>
      <c r="D195" s="1" t="s">
        <v>428</v>
      </c>
      <c r="E195" s="10">
        <f>IFERROR(VLOOKUP(C195, [1]actualizado!A:B, 2, FALSE), E195)</f>
        <v>2370</v>
      </c>
      <c r="F195" s="11">
        <v>1</v>
      </c>
      <c r="G195" s="12">
        <f t="shared" si="10"/>
        <v>2370</v>
      </c>
      <c r="H195" s="7" t="s">
        <v>418</v>
      </c>
      <c r="I195" s="7" t="s">
        <v>416</v>
      </c>
      <c r="J195" s="7"/>
      <c r="K195" s="13" t="e">
        <f t="shared" ca="1" si="15"/>
        <v>#NAME?</v>
      </c>
    </row>
    <row r="196" spans="1:11">
      <c r="A196" s="2" t="s">
        <v>194</v>
      </c>
      <c r="B196" s="8"/>
      <c r="C196" s="1" t="s">
        <v>413</v>
      </c>
      <c r="D196" s="1" t="s">
        <v>428</v>
      </c>
      <c r="E196" s="10">
        <f>IFERROR(VLOOKUP(C196, [1]actualizado!A:B, 2, FALSE), E196)</f>
        <v>2370</v>
      </c>
      <c r="F196" s="11">
        <v>1</v>
      </c>
      <c r="G196" s="12">
        <f t="shared" si="10"/>
        <v>2370</v>
      </c>
      <c r="H196" s="7" t="s">
        <v>418</v>
      </c>
      <c r="I196" s="7" t="s">
        <v>416</v>
      </c>
      <c r="J196" s="7"/>
      <c r="K196" s="13" t="e">
        <f t="shared" ca="1" si="15"/>
        <v>#NAME?</v>
      </c>
    </row>
    <row r="197" spans="1:11">
      <c r="A197" s="2" t="s">
        <v>195</v>
      </c>
      <c r="B197" s="8"/>
      <c r="C197" s="1" t="s">
        <v>413</v>
      </c>
      <c r="D197" s="1" t="s">
        <v>428</v>
      </c>
      <c r="E197" s="10">
        <f>IFERROR(VLOOKUP(C197, [1]actualizado!A:B, 2, FALSE), E197)</f>
        <v>2370</v>
      </c>
      <c r="F197" s="11">
        <v>1</v>
      </c>
      <c r="G197" s="12">
        <f t="shared" si="10"/>
        <v>2370</v>
      </c>
      <c r="H197" s="7" t="s">
        <v>418</v>
      </c>
      <c r="I197" s="7" t="s">
        <v>416</v>
      </c>
      <c r="J197" s="7"/>
      <c r="K197" s="13" t="e">
        <f t="shared" ca="1" si="15"/>
        <v>#NAME?</v>
      </c>
    </row>
    <row r="198" spans="1:11">
      <c r="A198" s="1" t="s">
        <v>196</v>
      </c>
      <c r="B198" s="8"/>
      <c r="C198" s="1" t="s">
        <v>413</v>
      </c>
      <c r="D198" s="1" t="s">
        <v>428</v>
      </c>
      <c r="E198" s="10">
        <f>IFERROR(VLOOKUP(C198, [1]actualizado!A:B, 2, FALSE), E198)</f>
        <v>2370</v>
      </c>
      <c r="F198" s="11">
        <v>1</v>
      </c>
      <c r="G198" s="12">
        <f t="shared" si="10"/>
        <v>2370</v>
      </c>
      <c r="H198" s="7" t="s">
        <v>418</v>
      </c>
      <c r="I198" s="7" t="s">
        <v>416</v>
      </c>
      <c r="J198" s="7"/>
      <c r="K198" s="13" t="e">
        <f t="shared" ca="1" si="15"/>
        <v>#NAME?</v>
      </c>
    </row>
    <row r="199" spans="1:11">
      <c r="A199" s="1" t="s">
        <v>197</v>
      </c>
      <c r="B199" s="8"/>
      <c r="C199" s="1" t="s">
        <v>413</v>
      </c>
      <c r="D199" s="1" t="s">
        <v>428</v>
      </c>
      <c r="E199" s="10">
        <f>IFERROR(VLOOKUP(C199, [1]actualizado!A:B, 2, FALSE), E199)</f>
        <v>2370</v>
      </c>
      <c r="F199" s="11">
        <v>1</v>
      </c>
      <c r="G199" s="12">
        <f t="shared" si="10"/>
        <v>2370</v>
      </c>
      <c r="H199" s="7"/>
      <c r="I199" s="7"/>
      <c r="J199" s="7"/>
      <c r="K199" s="13"/>
    </row>
    <row r="200" spans="1:11">
      <c r="A200" s="1" t="s">
        <v>198</v>
      </c>
      <c r="B200" s="8"/>
      <c r="C200" s="1" t="s">
        <v>413</v>
      </c>
      <c r="D200" s="1" t="s">
        <v>428</v>
      </c>
      <c r="E200" s="10">
        <f>IFERROR(VLOOKUP(C200, [1]actualizado!A:B, 2, FALSE), E200)</f>
        <v>2370</v>
      </c>
      <c r="F200" s="11">
        <v>1</v>
      </c>
      <c r="G200" s="12">
        <f t="shared" si="10"/>
        <v>2370</v>
      </c>
      <c r="H200" s="7"/>
      <c r="I200" s="7"/>
      <c r="J200" s="7"/>
      <c r="K200" s="13"/>
    </row>
    <row r="201" spans="1:11">
      <c r="A201" s="1" t="s">
        <v>199</v>
      </c>
      <c r="B201" s="8"/>
      <c r="C201" s="1" t="s">
        <v>413</v>
      </c>
      <c r="D201" s="1" t="s">
        <v>428</v>
      </c>
      <c r="E201" s="10">
        <f>IFERROR(VLOOKUP(C201, [1]actualizado!A:B, 2, FALSE), E201)</f>
        <v>2370</v>
      </c>
      <c r="F201" s="11">
        <v>1</v>
      </c>
      <c r="G201" s="12">
        <f t="shared" si="10"/>
        <v>2370</v>
      </c>
      <c r="H201" s="7"/>
      <c r="I201" s="7"/>
      <c r="J201" s="7"/>
      <c r="K201" s="13"/>
    </row>
    <row r="202" spans="1:11">
      <c r="A202" s="1" t="s">
        <v>200</v>
      </c>
      <c r="B202" s="8"/>
      <c r="C202" s="1" t="s">
        <v>413</v>
      </c>
      <c r="D202" s="1" t="s">
        <v>428</v>
      </c>
      <c r="E202" s="10">
        <f>IFERROR(VLOOKUP(C202, [1]actualizado!A:B, 2, FALSE), E202)</f>
        <v>2370</v>
      </c>
      <c r="F202" s="11">
        <v>1</v>
      </c>
      <c r="G202" s="12">
        <f t="shared" si="10"/>
        <v>2370</v>
      </c>
      <c r="H202" s="7"/>
      <c r="I202" s="7"/>
      <c r="J202" s="7"/>
      <c r="K202" s="13"/>
    </row>
    <row r="203" spans="1:11">
      <c r="A203" s="1" t="s">
        <v>201</v>
      </c>
      <c r="B203" s="8"/>
      <c r="C203" s="1" t="s">
        <v>413</v>
      </c>
      <c r="D203" s="1" t="s">
        <v>428</v>
      </c>
      <c r="E203" s="10">
        <f>IFERROR(VLOOKUP(C203, [1]actualizado!A:B, 2, FALSE), E203)</f>
        <v>2370</v>
      </c>
      <c r="F203" s="11">
        <v>1</v>
      </c>
      <c r="G203" s="12">
        <f t="shared" si="10"/>
        <v>2370</v>
      </c>
      <c r="H203" s="7" t="s">
        <v>418</v>
      </c>
      <c r="I203" s="7" t="s">
        <v>416</v>
      </c>
      <c r="J203" s="7"/>
      <c r="K203" s="13" t="e">
        <f t="shared" ref="K203:K204" ca="1" si="16">_xludf.IFS(H203="SI",J203/F203,H203="NO",1)</f>
        <v>#NAME?</v>
      </c>
    </row>
    <row r="204" spans="1:11">
      <c r="A204" s="1" t="s">
        <v>202</v>
      </c>
      <c r="B204" s="8"/>
      <c r="C204" s="1" t="s">
        <v>413</v>
      </c>
      <c r="D204" s="1" t="s">
        <v>428</v>
      </c>
      <c r="E204" s="10">
        <f>IFERROR(VLOOKUP(C204, [1]actualizado!A:B, 2, FALSE), E204)</f>
        <v>2370</v>
      </c>
      <c r="F204" s="11">
        <v>12</v>
      </c>
      <c r="G204" s="12">
        <f t="shared" si="10"/>
        <v>197.5</v>
      </c>
      <c r="H204" s="7" t="s">
        <v>418</v>
      </c>
      <c r="I204" s="7" t="s">
        <v>416</v>
      </c>
      <c r="J204" s="7"/>
      <c r="K204" s="13" t="e">
        <f t="shared" ca="1" si="16"/>
        <v>#NAME?</v>
      </c>
    </row>
    <row r="205" spans="1:11">
      <c r="A205" s="4" t="s">
        <v>203</v>
      </c>
      <c r="B205" s="8"/>
      <c r="C205" s="1" t="s">
        <v>413</v>
      </c>
      <c r="D205" s="1" t="s">
        <v>428</v>
      </c>
      <c r="E205" s="10">
        <f>IFERROR(VLOOKUP(C205, [1]actualizado!A:B, 2, FALSE), E205)</f>
        <v>2370</v>
      </c>
      <c r="F205" s="11">
        <v>1</v>
      </c>
      <c r="G205" s="12">
        <f t="shared" si="10"/>
        <v>2370</v>
      </c>
      <c r="H205" s="7"/>
      <c r="I205" s="7"/>
      <c r="J205" s="7"/>
      <c r="K205" s="13"/>
    </row>
    <row r="206" spans="1:11">
      <c r="A206" s="4" t="s">
        <v>204</v>
      </c>
      <c r="B206" s="8"/>
      <c r="C206" s="1" t="s">
        <v>413</v>
      </c>
      <c r="D206" s="1" t="s">
        <v>428</v>
      </c>
      <c r="E206" s="10">
        <f>IFERROR(VLOOKUP(C206, [1]actualizado!A:B, 2, FALSE), E206)</f>
        <v>2370</v>
      </c>
      <c r="F206" s="11">
        <v>1</v>
      </c>
      <c r="G206" s="12">
        <f t="shared" si="10"/>
        <v>2370</v>
      </c>
      <c r="H206" s="7"/>
      <c r="I206" s="7"/>
      <c r="J206" s="7"/>
      <c r="K206" s="13"/>
    </row>
    <row r="207" spans="1:11">
      <c r="A207" s="4" t="s">
        <v>205</v>
      </c>
      <c r="B207" s="8"/>
      <c r="C207" s="1" t="s">
        <v>413</v>
      </c>
      <c r="D207" s="1" t="s">
        <v>428</v>
      </c>
      <c r="E207" s="10">
        <f>IFERROR(VLOOKUP(C207, [1]actualizado!A:B, 2, FALSE), E207)</f>
        <v>2370</v>
      </c>
      <c r="F207" s="11">
        <v>1</v>
      </c>
      <c r="G207" s="12">
        <f t="shared" si="10"/>
        <v>2370</v>
      </c>
      <c r="H207" s="7"/>
      <c r="I207" s="7"/>
      <c r="J207" s="7"/>
      <c r="K207" s="13"/>
    </row>
    <row r="208" spans="1:11">
      <c r="A208" s="2" t="s">
        <v>206</v>
      </c>
      <c r="B208" s="8"/>
      <c r="C208" s="1" t="s">
        <v>413</v>
      </c>
      <c r="D208" s="1" t="s">
        <v>428</v>
      </c>
      <c r="E208" s="10">
        <f>IFERROR(VLOOKUP(C208, [1]actualizado!A:B, 2, FALSE), E208)</f>
        <v>2370</v>
      </c>
      <c r="F208" s="11">
        <v>1</v>
      </c>
      <c r="G208" s="12">
        <f t="shared" si="10"/>
        <v>2370</v>
      </c>
      <c r="H208" s="7" t="s">
        <v>418</v>
      </c>
      <c r="I208" s="7" t="s">
        <v>416</v>
      </c>
      <c r="J208" s="7"/>
      <c r="K208" s="13" t="e">
        <f ca="1">_xludf.IFS(H208="SI",J208/F208,H208="NO",1)</f>
        <v>#NAME?</v>
      </c>
    </row>
    <row r="209" spans="1:11">
      <c r="A209" s="1" t="s">
        <v>207</v>
      </c>
      <c r="B209" s="8"/>
      <c r="C209" s="1" t="s">
        <v>413</v>
      </c>
      <c r="D209" s="1" t="s">
        <v>428</v>
      </c>
      <c r="E209" s="10">
        <f>IFERROR(VLOOKUP(C209, [1]actualizado!A:B, 2, FALSE), E209)</f>
        <v>2370</v>
      </c>
      <c r="F209" s="11">
        <v>20</v>
      </c>
      <c r="G209" s="12">
        <f t="shared" si="10"/>
        <v>118.5</v>
      </c>
      <c r="H209" s="7"/>
      <c r="I209" s="7"/>
      <c r="J209" s="7"/>
      <c r="K209" s="13"/>
    </row>
    <row r="210" spans="1:11">
      <c r="A210" s="1" t="s">
        <v>208</v>
      </c>
      <c r="B210" s="8"/>
      <c r="C210" s="1" t="s">
        <v>413</v>
      </c>
      <c r="D210" s="1" t="s">
        <v>428</v>
      </c>
      <c r="E210" s="10">
        <f>IFERROR(VLOOKUP(C210, [1]actualizado!A:B, 2, FALSE), E210)</f>
        <v>2370</v>
      </c>
      <c r="F210" s="11">
        <v>20</v>
      </c>
      <c r="G210" s="12">
        <f t="shared" si="10"/>
        <v>118.5</v>
      </c>
      <c r="H210" s="7"/>
      <c r="I210" s="7"/>
      <c r="J210" s="7"/>
      <c r="K210" s="13"/>
    </row>
    <row r="211" spans="1:11">
      <c r="A211" s="1" t="s">
        <v>209</v>
      </c>
      <c r="B211" s="8"/>
      <c r="C211" s="1" t="s">
        <v>413</v>
      </c>
      <c r="D211" s="1" t="s">
        <v>428</v>
      </c>
      <c r="E211" s="10">
        <f>IFERROR(VLOOKUP(C211, [1]actualizado!A:B, 2, FALSE), E211)</f>
        <v>2370</v>
      </c>
      <c r="F211" s="11">
        <v>20</v>
      </c>
      <c r="G211" s="12">
        <f t="shared" si="10"/>
        <v>118.5</v>
      </c>
      <c r="H211" s="7"/>
      <c r="I211" s="7"/>
      <c r="J211" s="7"/>
      <c r="K211" s="13"/>
    </row>
    <row r="212" spans="1:11">
      <c r="A212" s="1" t="s">
        <v>210</v>
      </c>
      <c r="B212" s="8"/>
      <c r="C212" s="1" t="s">
        <v>413</v>
      </c>
      <c r="D212" s="1" t="s">
        <v>428</v>
      </c>
      <c r="E212" s="10">
        <f>IFERROR(VLOOKUP(C212, [1]actualizado!A:B, 2, FALSE), E212)</f>
        <v>2370</v>
      </c>
      <c r="F212" s="11">
        <v>20</v>
      </c>
      <c r="G212" s="12">
        <f t="shared" si="10"/>
        <v>118.5</v>
      </c>
      <c r="H212" s="7"/>
      <c r="I212" s="7"/>
      <c r="J212" s="7"/>
      <c r="K212" s="13"/>
    </row>
    <row r="213" spans="1:11">
      <c r="A213" s="2" t="s">
        <v>211</v>
      </c>
      <c r="B213" s="8"/>
      <c r="C213" s="1" t="s">
        <v>413</v>
      </c>
      <c r="D213" s="1" t="s">
        <v>428</v>
      </c>
      <c r="E213" s="10">
        <f>IFERROR(VLOOKUP(C213, [1]actualizado!A:B, 2, FALSE), E213)</f>
        <v>2370</v>
      </c>
      <c r="F213" s="11">
        <v>24</v>
      </c>
      <c r="G213" s="12">
        <f t="shared" si="10"/>
        <v>98.75</v>
      </c>
      <c r="H213" s="7" t="s">
        <v>418</v>
      </c>
      <c r="I213" s="7" t="s">
        <v>416</v>
      </c>
      <c r="J213" s="7"/>
      <c r="K213" s="13" t="e">
        <f t="shared" ref="K213:K220" ca="1" si="17">_xludf.IFS(H213="SI",J213/F213,H213="NO",1)</f>
        <v>#NAME?</v>
      </c>
    </row>
    <row r="214" spans="1:11">
      <c r="A214" s="2" t="s">
        <v>212</v>
      </c>
      <c r="B214" s="8"/>
      <c r="C214" s="1" t="s">
        <v>413</v>
      </c>
      <c r="D214" s="1" t="s">
        <v>428</v>
      </c>
      <c r="E214" s="10">
        <f>IFERROR(VLOOKUP(C214, [1]actualizado!A:B, 2, FALSE), E214)</f>
        <v>2370</v>
      </c>
      <c r="F214" s="11">
        <v>24</v>
      </c>
      <c r="G214" s="12">
        <f t="shared" si="10"/>
        <v>98.75</v>
      </c>
      <c r="H214" s="7" t="s">
        <v>418</v>
      </c>
      <c r="I214" s="7" t="s">
        <v>416</v>
      </c>
      <c r="J214" s="7"/>
      <c r="K214" s="13" t="e">
        <f t="shared" ca="1" si="17"/>
        <v>#NAME?</v>
      </c>
    </row>
    <row r="215" spans="1:11">
      <c r="A215" s="2" t="s">
        <v>213</v>
      </c>
      <c r="B215" s="8"/>
      <c r="C215" s="1" t="s">
        <v>413</v>
      </c>
      <c r="D215" s="1" t="s">
        <v>428</v>
      </c>
      <c r="E215" s="10">
        <f>IFERROR(VLOOKUP(C215, [1]actualizado!A:B, 2, FALSE), E215)</f>
        <v>2370</v>
      </c>
      <c r="F215" s="11">
        <v>24</v>
      </c>
      <c r="G215" s="12">
        <f t="shared" si="10"/>
        <v>98.75</v>
      </c>
      <c r="H215" s="7" t="s">
        <v>418</v>
      </c>
      <c r="I215" s="7" t="s">
        <v>416</v>
      </c>
      <c r="J215" s="7"/>
      <c r="K215" s="13" t="e">
        <f t="shared" ca="1" si="17"/>
        <v>#NAME?</v>
      </c>
    </row>
    <row r="216" spans="1:11">
      <c r="A216" s="1" t="s">
        <v>214</v>
      </c>
      <c r="B216" s="8"/>
      <c r="C216" s="1" t="s">
        <v>413</v>
      </c>
      <c r="D216" s="1" t="s">
        <v>428</v>
      </c>
      <c r="E216" s="10">
        <f>IFERROR(VLOOKUP(C216, [1]actualizado!A:B, 2, FALSE), E216)</f>
        <v>2370</v>
      </c>
      <c r="F216" s="11">
        <v>24</v>
      </c>
      <c r="G216" s="12">
        <f t="shared" si="10"/>
        <v>98.75</v>
      </c>
      <c r="H216" s="7" t="s">
        <v>418</v>
      </c>
      <c r="I216" s="7" t="s">
        <v>416</v>
      </c>
      <c r="J216" s="7"/>
      <c r="K216" s="13" t="e">
        <f t="shared" ca="1" si="17"/>
        <v>#NAME?</v>
      </c>
    </row>
    <row r="217" spans="1:11">
      <c r="A217" s="1" t="s">
        <v>215</v>
      </c>
      <c r="B217" s="8"/>
      <c r="C217" s="1" t="s">
        <v>413</v>
      </c>
      <c r="D217" s="1" t="s">
        <v>428</v>
      </c>
      <c r="E217" s="10">
        <f>IFERROR(VLOOKUP(C217, [1]actualizado!A:B, 2, FALSE), E217)</f>
        <v>2370</v>
      </c>
      <c r="F217" s="11">
        <v>24</v>
      </c>
      <c r="G217" s="12">
        <f t="shared" si="10"/>
        <v>98.75</v>
      </c>
      <c r="H217" s="7" t="s">
        <v>418</v>
      </c>
      <c r="I217" s="7" t="s">
        <v>416</v>
      </c>
      <c r="J217" s="7"/>
      <c r="K217" s="13" t="e">
        <f t="shared" ca="1" si="17"/>
        <v>#NAME?</v>
      </c>
    </row>
    <row r="218" spans="1:11">
      <c r="A218" s="1" t="s">
        <v>216</v>
      </c>
      <c r="B218" s="8"/>
      <c r="C218" s="1" t="s">
        <v>413</v>
      </c>
      <c r="D218" s="1" t="s">
        <v>428</v>
      </c>
      <c r="E218" s="10">
        <f>IFERROR(VLOOKUP(C218, [1]actualizado!A:B, 2, FALSE), E218)</f>
        <v>2370</v>
      </c>
      <c r="F218" s="11">
        <v>24</v>
      </c>
      <c r="G218" s="12">
        <f t="shared" si="10"/>
        <v>98.75</v>
      </c>
      <c r="H218" s="7" t="s">
        <v>418</v>
      </c>
      <c r="I218" s="7" t="s">
        <v>416</v>
      </c>
      <c r="J218" s="7"/>
      <c r="K218" s="13" t="e">
        <f t="shared" ca="1" si="17"/>
        <v>#NAME?</v>
      </c>
    </row>
    <row r="219" spans="1:11">
      <c r="A219" s="1" t="s">
        <v>217</v>
      </c>
      <c r="B219" s="8"/>
      <c r="C219" s="1" t="s">
        <v>413</v>
      </c>
      <c r="D219" s="1" t="s">
        <v>428</v>
      </c>
      <c r="E219" s="10">
        <f>IFERROR(VLOOKUP(C219, [1]actualizado!A:B, 2, FALSE), E219)</f>
        <v>2370</v>
      </c>
      <c r="F219" s="11">
        <v>24</v>
      </c>
      <c r="G219" s="12">
        <f t="shared" si="10"/>
        <v>98.75</v>
      </c>
      <c r="H219" s="7" t="s">
        <v>418</v>
      </c>
      <c r="I219" s="7" t="s">
        <v>416</v>
      </c>
      <c r="J219" s="7"/>
      <c r="K219" s="13" t="e">
        <f t="shared" ca="1" si="17"/>
        <v>#NAME?</v>
      </c>
    </row>
    <row r="220" spans="1:11">
      <c r="A220" s="1" t="s">
        <v>218</v>
      </c>
      <c r="B220" s="8"/>
      <c r="C220" s="1" t="s">
        <v>413</v>
      </c>
      <c r="D220" s="1" t="s">
        <v>428</v>
      </c>
      <c r="E220" s="10">
        <f>IFERROR(VLOOKUP(C220, [1]actualizado!A:B, 2, FALSE), E220)</f>
        <v>2370</v>
      </c>
      <c r="F220" s="11">
        <v>48</v>
      </c>
      <c r="G220" s="12">
        <f t="shared" si="10"/>
        <v>49.375</v>
      </c>
      <c r="H220" s="7" t="s">
        <v>418</v>
      </c>
      <c r="I220" s="7" t="s">
        <v>416</v>
      </c>
      <c r="J220" s="7"/>
      <c r="K220" s="13" t="e">
        <f t="shared" ca="1" si="17"/>
        <v>#NAME?</v>
      </c>
    </row>
    <row r="221" spans="1:11">
      <c r="A221" s="1" t="s">
        <v>219</v>
      </c>
      <c r="B221" s="8"/>
      <c r="C221" s="1" t="s">
        <v>413</v>
      </c>
      <c r="D221" s="1" t="s">
        <v>428</v>
      </c>
      <c r="E221" s="10">
        <f>IFERROR(VLOOKUP(C221, [1]actualizado!A:B, 2, FALSE), E221)</f>
        <v>2370</v>
      </c>
      <c r="F221" s="11">
        <v>24</v>
      </c>
      <c r="G221" s="12">
        <f t="shared" si="10"/>
        <v>98.75</v>
      </c>
      <c r="H221" s="7"/>
      <c r="I221" s="7"/>
      <c r="J221" s="7"/>
      <c r="K221" s="13"/>
    </row>
    <row r="222" spans="1:11">
      <c r="A222" s="1" t="s">
        <v>220</v>
      </c>
      <c r="B222" s="8"/>
      <c r="C222" s="1" t="s">
        <v>413</v>
      </c>
      <c r="D222" s="1" t="s">
        <v>428</v>
      </c>
      <c r="E222" s="10">
        <f>IFERROR(VLOOKUP(C222, [1]actualizado!A:B, 2, FALSE), E222)</f>
        <v>2370</v>
      </c>
      <c r="F222" s="11">
        <v>24</v>
      </c>
      <c r="G222" s="12">
        <f t="shared" si="10"/>
        <v>98.75</v>
      </c>
      <c r="H222" s="7"/>
      <c r="I222" s="7"/>
      <c r="J222" s="7"/>
      <c r="K222" s="13"/>
    </row>
    <row r="223" spans="1:11">
      <c r="A223" s="1" t="s">
        <v>221</v>
      </c>
      <c r="B223" s="8"/>
      <c r="C223" s="1" t="s">
        <v>413</v>
      </c>
      <c r="D223" s="1" t="s">
        <v>428</v>
      </c>
      <c r="E223" s="10">
        <f>IFERROR(VLOOKUP(C223, [1]actualizado!A:B, 2, FALSE), E223)</f>
        <v>2370</v>
      </c>
      <c r="F223" s="11">
        <v>24</v>
      </c>
      <c r="G223" s="12">
        <f t="shared" si="10"/>
        <v>98.75</v>
      </c>
      <c r="H223" s="7"/>
      <c r="I223" s="7"/>
      <c r="J223" s="7"/>
      <c r="K223" s="13"/>
    </row>
    <row r="224" spans="1:11">
      <c r="A224" s="1" t="s">
        <v>222</v>
      </c>
      <c r="B224" s="8"/>
      <c r="C224" s="1" t="s">
        <v>413</v>
      </c>
      <c r="D224" s="1" t="s">
        <v>428</v>
      </c>
      <c r="E224" s="10">
        <f>IFERROR(VLOOKUP(C224, [1]actualizado!A:B, 2, FALSE), E224)</f>
        <v>2370</v>
      </c>
      <c r="F224" s="11">
        <v>30</v>
      </c>
      <c r="G224" s="12">
        <f t="shared" si="10"/>
        <v>79</v>
      </c>
      <c r="H224" s="7"/>
      <c r="I224" s="7"/>
      <c r="J224" s="7"/>
      <c r="K224" s="13"/>
    </row>
    <row r="225" spans="1:11">
      <c r="A225" s="1" t="s">
        <v>223</v>
      </c>
      <c r="B225" s="8"/>
      <c r="C225" s="1" t="s">
        <v>413</v>
      </c>
      <c r="D225" s="1" t="s">
        <v>428</v>
      </c>
      <c r="E225" s="10">
        <f>IFERROR(VLOOKUP(C225, [1]actualizado!A:B, 2, FALSE), E225)</f>
        <v>2370</v>
      </c>
      <c r="F225" s="11">
        <v>30</v>
      </c>
      <c r="G225" s="12">
        <f t="shared" si="10"/>
        <v>79</v>
      </c>
      <c r="H225" s="7"/>
      <c r="I225" s="7"/>
      <c r="J225" s="7"/>
      <c r="K225" s="13"/>
    </row>
    <row r="226" spans="1:11">
      <c r="A226" s="2" t="s">
        <v>224</v>
      </c>
      <c r="B226" s="8"/>
      <c r="C226" s="1" t="s">
        <v>413</v>
      </c>
      <c r="D226" s="1" t="s">
        <v>428</v>
      </c>
      <c r="E226" s="10">
        <f>IFERROR(VLOOKUP(C226, [1]actualizado!A:B, 2, FALSE), E226)</f>
        <v>2370</v>
      </c>
      <c r="F226" s="11">
        <v>1</v>
      </c>
      <c r="G226" s="12">
        <f t="shared" si="10"/>
        <v>2370</v>
      </c>
      <c r="H226" s="7" t="s">
        <v>418</v>
      </c>
      <c r="I226" s="7" t="s">
        <v>416</v>
      </c>
      <c r="J226" s="7"/>
      <c r="K226" s="13" t="e">
        <f t="shared" ref="K226:K229" ca="1" si="18">_xludf.IFS(H226="SI",J226/F226,H226="NO",1)</f>
        <v>#NAME?</v>
      </c>
    </row>
    <row r="227" spans="1:11">
      <c r="A227" s="2" t="s">
        <v>225</v>
      </c>
      <c r="B227" s="8"/>
      <c r="C227" s="1" t="s">
        <v>413</v>
      </c>
      <c r="D227" s="1" t="s">
        <v>428</v>
      </c>
      <c r="E227" s="10">
        <f>IFERROR(VLOOKUP(C227, [1]actualizado!A:B, 2, FALSE), E227)</f>
        <v>2370</v>
      </c>
      <c r="F227" s="11">
        <v>1</v>
      </c>
      <c r="G227" s="12">
        <f t="shared" si="10"/>
        <v>2370</v>
      </c>
      <c r="H227" s="7" t="s">
        <v>418</v>
      </c>
      <c r="I227" s="7" t="s">
        <v>416</v>
      </c>
      <c r="J227" s="7"/>
      <c r="K227" s="13" t="e">
        <f t="shared" ca="1" si="18"/>
        <v>#NAME?</v>
      </c>
    </row>
    <row r="228" spans="1:11">
      <c r="A228" s="2" t="s">
        <v>226</v>
      </c>
      <c r="B228" s="8"/>
      <c r="C228" s="1" t="s">
        <v>413</v>
      </c>
      <c r="D228" s="1" t="s">
        <v>428</v>
      </c>
      <c r="E228" s="10">
        <f>IFERROR(VLOOKUP(C228, [1]actualizado!A:B, 2, FALSE), E228)</f>
        <v>2370</v>
      </c>
      <c r="F228" s="11">
        <v>1</v>
      </c>
      <c r="G228" s="12">
        <f t="shared" si="10"/>
        <v>2370</v>
      </c>
      <c r="H228" s="7" t="s">
        <v>418</v>
      </c>
      <c r="I228" s="7" t="s">
        <v>416</v>
      </c>
      <c r="J228" s="7"/>
      <c r="K228" s="13" t="e">
        <f t="shared" ca="1" si="18"/>
        <v>#NAME?</v>
      </c>
    </row>
    <row r="229" spans="1:11">
      <c r="A229" s="2" t="s">
        <v>227</v>
      </c>
      <c r="B229" s="8"/>
      <c r="C229" s="1" t="s">
        <v>413</v>
      </c>
      <c r="D229" s="1" t="s">
        <v>428</v>
      </c>
      <c r="E229" s="10">
        <f>IFERROR(VLOOKUP(C229, [1]actualizado!A:B, 2, FALSE), E229)</f>
        <v>2370</v>
      </c>
      <c r="F229" s="11">
        <v>1</v>
      </c>
      <c r="G229" s="12">
        <f t="shared" si="10"/>
        <v>2370</v>
      </c>
      <c r="H229" s="7" t="s">
        <v>418</v>
      </c>
      <c r="I229" s="7" t="s">
        <v>416</v>
      </c>
      <c r="J229" s="7"/>
      <c r="K229" s="13" t="e">
        <f t="shared" ca="1" si="18"/>
        <v>#NAME?</v>
      </c>
    </row>
    <row r="230" spans="1:11">
      <c r="A230" s="1" t="s">
        <v>228</v>
      </c>
      <c r="B230" s="8"/>
      <c r="C230" s="1" t="s">
        <v>413</v>
      </c>
      <c r="D230" s="1" t="s">
        <v>428</v>
      </c>
      <c r="E230" s="10">
        <f>IFERROR(VLOOKUP(C230, [1]actualizado!A:B, 2, FALSE), E230)</f>
        <v>2370</v>
      </c>
      <c r="F230" s="11">
        <v>1</v>
      </c>
      <c r="G230" s="12">
        <f t="shared" si="10"/>
        <v>2370</v>
      </c>
      <c r="H230" s="7"/>
      <c r="I230" s="7"/>
      <c r="J230" s="7"/>
      <c r="K230" s="13"/>
    </row>
    <row r="231" spans="1:11">
      <c r="A231" s="1" t="s">
        <v>229</v>
      </c>
      <c r="B231" s="8"/>
      <c r="C231" s="1" t="s">
        <v>413</v>
      </c>
      <c r="D231" s="1" t="s">
        <v>428</v>
      </c>
      <c r="E231" s="10">
        <v>4570</v>
      </c>
      <c r="F231" s="11">
        <v>1</v>
      </c>
      <c r="G231" s="12"/>
      <c r="H231" s="7"/>
      <c r="I231" s="7"/>
      <c r="J231" s="7"/>
      <c r="K231" s="13"/>
    </row>
    <row r="232" spans="1:11">
      <c r="A232" s="1" t="s">
        <v>230</v>
      </c>
      <c r="B232" s="8"/>
      <c r="C232" s="1" t="s">
        <v>413</v>
      </c>
      <c r="D232" s="1" t="s">
        <v>428</v>
      </c>
      <c r="E232" s="10">
        <f>IFERROR(VLOOKUP(C232, [1]actualizado!A:B, 2, FALSE), E232)</f>
        <v>2370</v>
      </c>
      <c r="F232" s="11">
        <v>1</v>
      </c>
      <c r="G232" s="12">
        <f t="shared" ref="G232:G405" si="19">E232/F232</f>
        <v>2370</v>
      </c>
      <c r="H232" s="7"/>
      <c r="I232" s="7"/>
      <c r="J232" s="7"/>
      <c r="K232" s="13"/>
    </row>
    <row r="233" spans="1:11">
      <c r="A233" s="2" t="s">
        <v>231</v>
      </c>
      <c r="B233" s="8"/>
      <c r="C233" s="1" t="s">
        <v>413</v>
      </c>
      <c r="D233" s="1" t="s">
        <v>428</v>
      </c>
      <c r="E233" s="10">
        <f>IFERROR(VLOOKUP(C233, [1]actualizado!A:B, 2, FALSE), E233)</f>
        <v>2370</v>
      </c>
      <c r="F233" s="11">
        <v>1</v>
      </c>
      <c r="G233" s="12">
        <f t="shared" si="19"/>
        <v>2370</v>
      </c>
      <c r="H233" s="7" t="s">
        <v>415</v>
      </c>
      <c r="I233" s="7" t="s">
        <v>416</v>
      </c>
      <c r="J233" s="7"/>
      <c r="K233" s="13" t="e">
        <f t="shared" ref="K233:K235" ca="1" si="20">_xludf.IFS(H233="SI",J233/F233,H233="NO",1)</f>
        <v>#NAME?</v>
      </c>
    </row>
    <row r="234" spans="1:11">
      <c r="A234" s="2" t="s">
        <v>232</v>
      </c>
      <c r="B234" s="8"/>
      <c r="C234" s="1" t="s">
        <v>413</v>
      </c>
      <c r="D234" s="1" t="s">
        <v>428</v>
      </c>
      <c r="E234" s="10">
        <f>IFERROR(VLOOKUP(C234, [1]actualizado!A:B, 2, FALSE), E234)</f>
        <v>2370</v>
      </c>
      <c r="F234" s="11">
        <v>1</v>
      </c>
      <c r="G234" s="12">
        <f t="shared" si="19"/>
        <v>2370</v>
      </c>
      <c r="H234" s="7" t="s">
        <v>415</v>
      </c>
      <c r="I234" s="7" t="s">
        <v>416</v>
      </c>
      <c r="J234" s="7"/>
      <c r="K234" s="13" t="e">
        <f t="shared" ca="1" si="20"/>
        <v>#NAME?</v>
      </c>
    </row>
    <row r="235" spans="1:11">
      <c r="A235" s="2" t="s">
        <v>233</v>
      </c>
      <c r="B235" s="8"/>
      <c r="C235" s="1" t="s">
        <v>413</v>
      </c>
      <c r="D235" s="1" t="s">
        <v>428</v>
      </c>
      <c r="E235" s="10">
        <f>IFERROR(VLOOKUP(C235, [1]actualizado!A:B, 2, FALSE), E235)</f>
        <v>2370</v>
      </c>
      <c r="F235" s="11">
        <v>1</v>
      </c>
      <c r="G235" s="12">
        <f t="shared" si="19"/>
        <v>2370</v>
      </c>
      <c r="H235" s="7" t="s">
        <v>415</v>
      </c>
      <c r="I235" s="7" t="s">
        <v>416</v>
      </c>
      <c r="J235" s="7"/>
      <c r="K235" s="13" t="e">
        <f t="shared" ca="1" si="20"/>
        <v>#NAME?</v>
      </c>
    </row>
    <row r="236" spans="1:11">
      <c r="A236" s="2" t="s">
        <v>234</v>
      </c>
      <c r="B236" s="8"/>
      <c r="C236" s="1" t="s">
        <v>413</v>
      </c>
      <c r="D236" s="1" t="s">
        <v>428</v>
      </c>
      <c r="E236" s="10">
        <f>IFERROR(VLOOKUP(C236, [1]actualizado!A:B, 2, FALSE), E236)</f>
        <v>2370</v>
      </c>
      <c r="F236" s="11">
        <v>1</v>
      </c>
      <c r="G236" s="12">
        <f t="shared" si="19"/>
        <v>2370</v>
      </c>
      <c r="H236" s="7"/>
      <c r="I236" s="7"/>
      <c r="J236" s="7"/>
      <c r="K236" s="13"/>
    </row>
    <row r="237" spans="1:11">
      <c r="A237" s="2" t="s">
        <v>235</v>
      </c>
      <c r="B237" s="8"/>
      <c r="C237" s="1" t="s">
        <v>413</v>
      </c>
      <c r="D237" s="1" t="s">
        <v>428</v>
      </c>
      <c r="E237" s="10">
        <f>IFERROR(VLOOKUP(C237, [1]actualizado!A:B, 2, FALSE), E237)</f>
        <v>2370</v>
      </c>
      <c r="F237" s="11">
        <v>1</v>
      </c>
      <c r="G237" s="12">
        <f t="shared" si="19"/>
        <v>2370</v>
      </c>
      <c r="H237" s="7"/>
      <c r="I237" s="7"/>
      <c r="J237" s="7"/>
      <c r="K237" s="13"/>
    </row>
    <row r="238" spans="1:11">
      <c r="A238" s="2" t="s">
        <v>236</v>
      </c>
      <c r="B238" s="8"/>
      <c r="C238" s="1" t="s">
        <v>413</v>
      </c>
      <c r="D238" s="1" t="s">
        <v>428</v>
      </c>
      <c r="E238" s="10">
        <f>IFERROR(VLOOKUP(C238, [1]actualizado!A:B, 2, FALSE), E238)</f>
        <v>2370</v>
      </c>
      <c r="F238" s="11">
        <v>1</v>
      </c>
      <c r="G238" s="12">
        <f t="shared" si="19"/>
        <v>2370</v>
      </c>
      <c r="H238" s="7"/>
      <c r="I238" s="7"/>
      <c r="J238" s="7"/>
      <c r="K238" s="13"/>
    </row>
    <row r="239" spans="1:11">
      <c r="A239" s="2" t="s">
        <v>237</v>
      </c>
      <c r="B239" s="8"/>
      <c r="C239" s="1" t="s">
        <v>413</v>
      </c>
      <c r="D239" s="1" t="s">
        <v>428</v>
      </c>
      <c r="E239" s="10">
        <f>IFERROR(VLOOKUP(C239, [1]actualizado!A:B, 2, FALSE), E239)</f>
        <v>2370</v>
      </c>
      <c r="F239" s="11">
        <v>1</v>
      </c>
      <c r="G239" s="12">
        <f t="shared" si="19"/>
        <v>2370</v>
      </c>
      <c r="H239" s="7" t="s">
        <v>415</v>
      </c>
      <c r="I239" s="7" t="s">
        <v>416</v>
      </c>
      <c r="J239" s="7"/>
      <c r="K239" s="13" t="e">
        <f t="shared" ref="K239:K249" ca="1" si="21">_xludf.IFS(H239="SI",J239/F239,H239="NO",1)</f>
        <v>#NAME?</v>
      </c>
    </row>
    <row r="240" spans="1:11">
      <c r="A240" s="2" t="s">
        <v>238</v>
      </c>
      <c r="B240" s="8"/>
      <c r="C240" s="1" t="s">
        <v>413</v>
      </c>
      <c r="D240" s="1" t="s">
        <v>428</v>
      </c>
      <c r="E240" s="10">
        <f>IFERROR(VLOOKUP(C240, [1]actualizado!A:B, 2, FALSE), E240)</f>
        <v>2370</v>
      </c>
      <c r="F240" s="11">
        <v>1</v>
      </c>
      <c r="G240" s="12">
        <f t="shared" si="19"/>
        <v>2370</v>
      </c>
      <c r="H240" s="7" t="s">
        <v>415</v>
      </c>
      <c r="I240" s="7" t="s">
        <v>416</v>
      </c>
      <c r="J240" s="7"/>
      <c r="K240" s="13" t="e">
        <f t="shared" ca="1" si="21"/>
        <v>#NAME?</v>
      </c>
    </row>
    <row r="241" spans="1:11">
      <c r="A241" s="2" t="s">
        <v>239</v>
      </c>
      <c r="B241" s="8"/>
      <c r="C241" s="1" t="s">
        <v>413</v>
      </c>
      <c r="D241" s="1" t="s">
        <v>428</v>
      </c>
      <c r="E241" s="10">
        <f>IFERROR(VLOOKUP(C241, [1]actualizado!A:B, 2, FALSE), E241)</f>
        <v>2370</v>
      </c>
      <c r="F241" s="11">
        <v>1</v>
      </c>
      <c r="G241" s="12">
        <f t="shared" si="19"/>
        <v>2370</v>
      </c>
      <c r="H241" s="7" t="s">
        <v>415</v>
      </c>
      <c r="I241" s="7" t="s">
        <v>416</v>
      </c>
      <c r="J241" s="7"/>
      <c r="K241" s="13" t="e">
        <f t="shared" ca="1" si="21"/>
        <v>#NAME?</v>
      </c>
    </row>
    <row r="242" spans="1:11">
      <c r="A242" s="2" t="s">
        <v>240</v>
      </c>
      <c r="B242" s="8"/>
      <c r="C242" s="1" t="s">
        <v>413</v>
      </c>
      <c r="D242" s="1" t="s">
        <v>428</v>
      </c>
      <c r="E242" s="10">
        <f>IFERROR(VLOOKUP(C242, [1]actualizado!A:B, 2, FALSE), E242)</f>
        <v>2370</v>
      </c>
      <c r="F242" s="11">
        <v>1</v>
      </c>
      <c r="G242" s="12">
        <f t="shared" si="19"/>
        <v>2370</v>
      </c>
      <c r="H242" s="7" t="s">
        <v>415</v>
      </c>
      <c r="I242" s="7" t="s">
        <v>416</v>
      </c>
      <c r="J242" s="7"/>
      <c r="K242" s="13" t="e">
        <f t="shared" ca="1" si="21"/>
        <v>#NAME?</v>
      </c>
    </row>
    <row r="243" spans="1:11">
      <c r="A243" s="2" t="s">
        <v>241</v>
      </c>
      <c r="B243" s="8"/>
      <c r="C243" s="1" t="s">
        <v>413</v>
      </c>
      <c r="D243" s="1" t="s">
        <v>428</v>
      </c>
      <c r="E243" s="10">
        <f>IFERROR(VLOOKUP(C243, [1]actualizado!A:B, 2, FALSE), E243)</f>
        <v>2370</v>
      </c>
      <c r="F243" s="11">
        <v>1</v>
      </c>
      <c r="G243" s="12">
        <f t="shared" si="19"/>
        <v>2370</v>
      </c>
      <c r="H243" s="7" t="s">
        <v>415</v>
      </c>
      <c r="I243" s="7" t="s">
        <v>416</v>
      </c>
      <c r="J243" s="7"/>
      <c r="K243" s="13" t="e">
        <f t="shared" ca="1" si="21"/>
        <v>#NAME?</v>
      </c>
    </row>
    <row r="244" spans="1:11">
      <c r="A244" s="2" t="s">
        <v>242</v>
      </c>
      <c r="B244" s="8"/>
      <c r="C244" s="1" t="s">
        <v>413</v>
      </c>
      <c r="D244" s="1" t="s">
        <v>428</v>
      </c>
      <c r="E244" s="10">
        <f>IFERROR(VLOOKUP(C244, [1]actualizado!A:B, 2, FALSE), E244)</f>
        <v>2370</v>
      </c>
      <c r="F244" s="11">
        <v>1</v>
      </c>
      <c r="G244" s="12">
        <f t="shared" si="19"/>
        <v>2370</v>
      </c>
      <c r="H244" s="7" t="s">
        <v>415</v>
      </c>
      <c r="I244" s="7" t="s">
        <v>416</v>
      </c>
      <c r="J244" s="7"/>
      <c r="K244" s="13" t="e">
        <f t="shared" ca="1" si="21"/>
        <v>#NAME?</v>
      </c>
    </row>
    <row r="245" spans="1:11">
      <c r="A245" s="2" t="s">
        <v>243</v>
      </c>
      <c r="B245" s="8"/>
      <c r="C245" s="1" t="s">
        <v>413</v>
      </c>
      <c r="D245" s="1" t="s">
        <v>428</v>
      </c>
      <c r="E245" s="10">
        <f>IFERROR(VLOOKUP(C245, [1]actualizado!A:B, 2, FALSE), E245)</f>
        <v>2370</v>
      </c>
      <c r="F245" s="11">
        <v>1</v>
      </c>
      <c r="G245" s="12">
        <f t="shared" si="19"/>
        <v>2370</v>
      </c>
      <c r="H245" s="7" t="s">
        <v>415</v>
      </c>
      <c r="I245" s="7" t="s">
        <v>417</v>
      </c>
      <c r="J245" s="7"/>
      <c r="K245" s="13" t="e">
        <f t="shared" ca="1" si="21"/>
        <v>#NAME?</v>
      </c>
    </row>
    <row r="246" spans="1:11">
      <c r="A246" s="2" t="s">
        <v>244</v>
      </c>
      <c r="B246" s="8"/>
      <c r="C246" s="1" t="s">
        <v>413</v>
      </c>
      <c r="D246" s="1" t="s">
        <v>428</v>
      </c>
      <c r="E246" s="10">
        <f>IFERROR(VLOOKUP(C246, [1]actualizado!A:B, 2, FALSE), E246)</f>
        <v>2370</v>
      </c>
      <c r="F246" s="11">
        <v>1</v>
      </c>
      <c r="G246" s="12">
        <f t="shared" si="19"/>
        <v>2370</v>
      </c>
      <c r="H246" s="7"/>
      <c r="I246" s="7"/>
      <c r="J246" s="7"/>
      <c r="K246" s="13" t="e">
        <f t="shared" ca="1" si="21"/>
        <v>#NAME?</v>
      </c>
    </row>
    <row r="247" spans="1:11">
      <c r="A247" s="1" t="s">
        <v>245</v>
      </c>
      <c r="B247" s="8"/>
      <c r="C247" s="1" t="s">
        <v>413</v>
      </c>
      <c r="D247" s="1" t="s">
        <v>428</v>
      </c>
      <c r="E247" s="10">
        <f>IFERROR(VLOOKUP(C247, [1]actualizado!A:B, 2, FALSE), E247)</f>
        <v>2370</v>
      </c>
      <c r="F247" s="11">
        <v>1</v>
      </c>
      <c r="G247" s="12">
        <f t="shared" si="19"/>
        <v>2370</v>
      </c>
      <c r="H247" s="7"/>
      <c r="I247" s="7"/>
      <c r="J247" s="7"/>
      <c r="K247" s="13" t="e">
        <f t="shared" ca="1" si="21"/>
        <v>#NAME?</v>
      </c>
    </row>
    <row r="248" spans="1:11">
      <c r="A248" s="1" t="s">
        <v>246</v>
      </c>
      <c r="B248" s="8"/>
      <c r="C248" s="1" t="s">
        <v>413</v>
      </c>
      <c r="D248" s="1" t="s">
        <v>428</v>
      </c>
      <c r="E248" s="10">
        <f>IFERROR(VLOOKUP(C248, [1]actualizado!A:B, 2, FALSE), E248)</f>
        <v>2370</v>
      </c>
      <c r="F248" s="11">
        <v>12</v>
      </c>
      <c r="G248" s="12">
        <f t="shared" si="19"/>
        <v>197.5</v>
      </c>
      <c r="H248" s="7"/>
      <c r="I248" s="7"/>
      <c r="J248" s="7"/>
      <c r="K248" s="13" t="e">
        <f t="shared" ca="1" si="21"/>
        <v>#NAME?</v>
      </c>
    </row>
    <row r="249" spans="1:11">
      <c r="A249" s="1" t="s">
        <v>247</v>
      </c>
      <c r="B249" s="8"/>
      <c r="C249" s="1" t="s">
        <v>413</v>
      </c>
      <c r="D249" s="1" t="s">
        <v>428</v>
      </c>
      <c r="E249" s="10">
        <f>IFERROR(VLOOKUP(C249, [1]actualizado!A:B, 2, FALSE), E249)</f>
        <v>2370</v>
      </c>
      <c r="F249" s="11">
        <v>1</v>
      </c>
      <c r="G249" s="12">
        <f t="shared" si="19"/>
        <v>2370</v>
      </c>
      <c r="H249" s="7"/>
      <c r="I249" s="7"/>
      <c r="J249" s="7"/>
      <c r="K249" s="13" t="e">
        <f t="shared" ca="1" si="21"/>
        <v>#NAME?</v>
      </c>
    </row>
    <row r="250" spans="1:11">
      <c r="A250" s="1" t="s">
        <v>248</v>
      </c>
      <c r="B250" s="8"/>
      <c r="C250" s="1" t="s">
        <v>413</v>
      </c>
      <c r="D250" s="1" t="s">
        <v>428</v>
      </c>
      <c r="E250" s="10">
        <f>IFERROR(VLOOKUP(C250, [1]actualizado!A:B, 2, FALSE), E250)</f>
        <v>2370</v>
      </c>
      <c r="F250" s="11">
        <v>1</v>
      </c>
      <c r="G250" s="12">
        <f t="shared" si="19"/>
        <v>2370</v>
      </c>
      <c r="H250" s="7"/>
      <c r="I250" s="7"/>
      <c r="J250" s="7"/>
      <c r="K250" s="13"/>
    </row>
    <row r="251" spans="1:11">
      <c r="A251" s="1" t="s">
        <v>249</v>
      </c>
      <c r="B251" s="8"/>
      <c r="C251" s="1" t="s">
        <v>413</v>
      </c>
      <c r="D251" s="1" t="s">
        <v>428</v>
      </c>
      <c r="E251" s="10">
        <f>IFERROR(VLOOKUP(C251, [1]actualizado!A:B, 2, FALSE), E251)</f>
        <v>2370</v>
      </c>
      <c r="F251" s="11">
        <v>20</v>
      </c>
      <c r="G251" s="12">
        <f t="shared" si="19"/>
        <v>118.5</v>
      </c>
      <c r="H251" s="7"/>
      <c r="I251" s="7"/>
      <c r="J251" s="7"/>
      <c r="K251" s="13"/>
    </row>
    <row r="252" spans="1:11">
      <c r="A252" s="1" t="s">
        <v>250</v>
      </c>
      <c r="B252" s="8"/>
      <c r="C252" s="1" t="s">
        <v>413</v>
      </c>
      <c r="D252" s="1" t="s">
        <v>428</v>
      </c>
      <c r="E252" s="10">
        <f>IFERROR(VLOOKUP(C252, [1]actualizado!A:B, 2, FALSE), E252)</f>
        <v>2370</v>
      </c>
      <c r="F252" s="11">
        <v>1</v>
      </c>
      <c r="G252" s="12">
        <f t="shared" si="19"/>
        <v>2370</v>
      </c>
      <c r="H252" s="7" t="s">
        <v>415</v>
      </c>
      <c r="I252" s="7" t="s">
        <v>416</v>
      </c>
      <c r="J252" s="7"/>
      <c r="K252" s="13" t="e">
        <f t="shared" ref="K252:K263" ca="1" si="22">_xludf.IFS(H252="SI",J252/F252,H252="NO",1)</f>
        <v>#NAME?</v>
      </c>
    </row>
    <row r="253" spans="1:11">
      <c r="A253" s="2" t="s">
        <v>251</v>
      </c>
      <c r="B253" s="8"/>
      <c r="C253" s="1" t="s">
        <v>413</v>
      </c>
      <c r="D253" s="1" t="s">
        <v>428</v>
      </c>
      <c r="E253" s="10">
        <f>IFERROR(VLOOKUP(C253, [1]actualizado!A:B, 2, FALSE), E253)</f>
        <v>2370</v>
      </c>
      <c r="F253" s="11">
        <v>1</v>
      </c>
      <c r="G253" s="12">
        <f t="shared" si="19"/>
        <v>2370</v>
      </c>
      <c r="H253" s="7" t="s">
        <v>415</v>
      </c>
      <c r="I253" s="7" t="s">
        <v>416</v>
      </c>
      <c r="J253" s="7"/>
      <c r="K253" s="13" t="e">
        <f t="shared" ca="1" si="22"/>
        <v>#NAME?</v>
      </c>
    </row>
    <row r="254" spans="1:11">
      <c r="A254" s="2" t="s">
        <v>252</v>
      </c>
      <c r="B254" s="8"/>
      <c r="C254" s="1" t="s">
        <v>413</v>
      </c>
      <c r="D254" s="1" t="s">
        <v>428</v>
      </c>
      <c r="E254" s="10">
        <f>IFERROR(VLOOKUP(C254, [1]actualizado!A:B, 2, FALSE), E254)</f>
        <v>2370</v>
      </c>
      <c r="F254" s="11">
        <v>1</v>
      </c>
      <c r="G254" s="12">
        <f t="shared" si="19"/>
        <v>2370</v>
      </c>
      <c r="H254" s="7" t="s">
        <v>415</v>
      </c>
      <c r="I254" s="7" t="s">
        <v>416</v>
      </c>
      <c r="J254" s="7"/>
      <c r="K254" s="13" t="e">
        <f t="shared" ca="1" si="22"/>
        <v>#NAME?</v>
      </c>
    </row>
    <row r="255" spans="1:11">
      <c r="A255" s="2" t="s">
        <v>253</v>
      </c>
      <c r="B255" s="8"/>
      <c r="C255" s="1" t="s">
        <v>413</v>
      </c>
      <c r="D255" s="1" t="s">
        <v>428</v>
      </c>
      <c r="E255" s="10">
        <f>IFERROR(VLOOKUP(C255, [1]actualizado!A:B, 2, FALSE), E255)</f>
        <v>2370</v>
      </c>
      <c r="F255" s="11">
        <v>12</v>
      </c>
      <c r="G255" s="12">
        <f t="shared" si="19"/>
        <v>197.5</v>
      </c>
      <c r="H255" s="7" t="s">
        <v>415</v>
      </c>
      <c r="I255" s="7" t="s">
        <v>416</v>
      </c>
      <c r="J255" s="7"/>
      <c r="K255" s="13" t="e">
        <f t="shared" ca="1" si="22"/>
        <v>#NAME?</v>
      </c>
    </row>
    <row r="256" spans="1:11">
      <c r="A256" s="2" t="s">
        <v>254</v>
      </c>
      <c r="B256" s="8"/>
      <c r="C256" s="1" t="s">
        <v>413</v>
      </c>
      <c r="D256" s="1" t="s">
        <v>428</v>
      </c>
      <c r="E256" s="10">
        <f>IFERROR(VLOOKUP(C256, [1]actualizado!A:B, 2, FALSE), E256)</f>
        <v>2370</v>
      </c>
      <c r="F256" s="11">
        <v>12</v>
      </c>
      <c r="G256" s="12">
        <f t="shared" si="19"/>
        <v>197.5</v>
      </c>
      <c r="H256" s="7" t="s">
        <v>415</v>
      </c>
      <c r="I256" s="7" t="s">
        <v>416</v>
      </c>
      <c r="J256" s="7"/>
      <c r="K256" s="13" t="e">
        <f t="shared" ca="1" si="22"/>
        <v>#NAME?</v>
      </c>
    </row>
    <row r="257" spans="1:11">
      <c r="A257" s="2" t="s">
        <v>255</v>
      </c>
      <c r="B257" s="8"/>
      <c r="C257" s="1" t="s">
        <v>413</v>
      </c>
      <c r="D257" s="1" t="s">
        <v>428</v>
      </c>
      <c r="E257" s="10">
        <f>IFERROR(VLOOKUP(C257, [1]actualizado!A:B, 2, FALSE), E257)</f>
        <v>2370</v>
      </c>
      <c r="F257" s="11">
        <v>12</v>
      </c>
      <c r="G257" s="12">
        <f t="shared" si="19"/>
        <v>197.5</v>
      </c>
      <c r="H257" s="7" t="s">
        <v>415</v>
      </c>
      <c r="I257" s="7" t="s">
        <v>416</v>
      </c>
      <c r="J257" s="7"/>
      <c r="K257" s="13" t="e">
        <f t="shared" ca="1" si="22"/>
        <v>#NAME?</v>
      </c>
    </row>
    <row r="258" spans="1:11">
      <c r="A258" s="2" t="s">
        <v>256</v>
      </c>
      <c r="B258" s="8"/>
      <c r="C258" s="1" t="s">
        <v>413</v>
      </c>
      <c r="D258" s="1" t="s">
        <v>428</v>
      </c>
      <c r="E258" s="10">
        <f>IFERROR(VLOOKUP(C258, [1]actualizado!A:B, 2, FALSE), E258)</f>
        <v>2370</v>
      </c>
      <c r="F258" s="11">
        <v>12</v>
      </c>
      <c r="G258" s="12">
        <f t="shared" si="19"/>
        <v>197.5</v>
      </c>
      <c r="H258" s="7" t="s">
        <v>415</v>
      </c>
      <c r="I258" s="7" t="s">
        <v>423</v>
      </c>
      <c r="J258" s="7"/>
      <c r="K258" s="13" t="e">
        <f t="shared" ca="1" si="22"/>
        <v>#NAME?</v>
      </c>
    </row>
    <row r="259" spans="1:11">
      <c r="A259" s="2" t="s">
        <v>257</v>
      </c>
      <c r="B259" s="8"/>
      <c r="C259" s="1" t="s">
        <v>413</v>
      </c>
      <c r="D259" s="1" t="s">
        <v>428</v>
      </c>
      <c r="E259" s="10">
        <f>IFERROR(VLOOKUP(C259, [1]actualizado!A:B, 2, FALSE), E259)</f>
        <v>2370</v>
      </c>
      <c r="F259" s="11">
        <v>12</v>
      </c>
      <c r="G259" s="12">
        <f t="shared" si="19"/>
        <v>197.5</v>
      </c>
      <c r="H259" s="7" t="s">
        <v>415</v>
      </c>
      <c r="I259" s="7" t="s">
        <v>423</v>
      </c>
      <c r="J259" s="7"/>
      <c r="K259" s="13" t="e">
        <f t="shared" ca="1" si="22"/>
        <v>#NAME?</v>
      </c>
    </row>
    <row r="260" spans="1:11">
      <c r="A260" s="2" t="s">
        <v>258</v>
      </c>
      <c r="B260" s="8"/>
      <c r="C260" s="1" t="s">
        <v>413</v>
      </c>
      <c r="D260" s="1" t="s">
        <v>428</v>
      </c>
      <c r="E260" s="10">
        <f>IFERROR(VLOOKUP(C260, [1]actualizado!A:B, 2, FALSE), E260)</f>
        <v>2370</v>
      </c>
      <c r="F260" s="11">
        <v>20</v>
      </c>
      <c r="G260" s="12">
        <f t="shared" si="19"/>
        <v>118.5</v>
      </c>
      <c r="H260" s="7" t="s">
        <v>415</v>
      </c>
      <c r="I260" s="7" t="s">
        <v>423</v>
      </c>
      <c r="J260" s="7"/>
      <c r="K260" s="13" t="e">
        <f t="shared" ca="1" si="22"/>
        <v>#NAME?</v>
      </c>
    </row>
    <row r="261" spans="1:11">
      <c r="A261" s="2" t="s">
        <v>259</v>
      </c>
      <c r="B261" s="8"/>
      <c r="C261" s="1" t="s">
        <v>413</v>
      </c>
      <c r="D261" s="1" t="s">
        <v>428</v>
      </c>
      <c r="E261" s="10">
        <f>IFERROR(VLOOKUP(C261, [1]actualizado!A:B, 2, FALSE), E261)</f>
        <v>2370</v>
      </c>
      <c r="F261" s="11">
        <v>12</v>
      </c>
      <c r="G261" s="12">
        <f t="shared" si="19"/>
        <v>197.5</v>
      </c>
      <c r="H261" s="7" t="s">
        <v>415</v>
      </c>
      <c r="I261" s="7" t="s">
        <v>423</v>
      </c>
      <c r="J261" s="7"/>
      <c r="K261" s="13" t="e">
        <f t="shared" ca="1" si="22"/>
        <v>#NAME?</v>
      </c>
    </row>
    <row r="262" spans="1:11">
      <c r="A262" s="2" t="s">
        <v>260</v>
      </c>
      <c r="B262" s="8"/>
      <c r="C262" s="1" t="s">
        <v>413</v>
      </c>
      <c r="D262" s="1" t="s">
        <v>428</v>
      </c>
      <c r="E262" s="10">
        <f>IFERROR(VLOOKUP(C262, [1]actualizado!A:B, 2, FALSE), E262)</f>
        <v>2370</v>
      </c>
      <c r="F262" s="11">
        <v>12</v>
      </c>
      <c r="G262" s="12">
        <f t="shared" si="19"/>
        <v>197.5</v>
      </c>
      <c r="H262" s="7" t="s">
        <v>415</v>
      </c>
      <c r="I262" s="7" t="s">
        <v>423</v>
      </c>
      <c r="J262" s="7"/>
      <c r="K262" s="13" t="e">
        <f t="shared" ca="1" si="22"/>
        <v>#NAME?</v>
      </c>
    </row>
    <row r="263" spans="1:11">
      <c r="A263" s="2" t="s">
        <v>261</v>
      </c>
      <c r="B263" s="8"/>
      <c r="C263" s="1" t="s">
        <v>413</v>
      </c>
      <c r="D263" s="1" t="s">
        <v>428</v>
      </c>
      <c r="E263" s="10">
        <f>IFERROR(VLOOKUP(C263, [1]actualizado!A:B, 2, FALSE), E263)</f>
        <v>2370</v>
      </c>
      <c r="F263" s="11">
        <v>12</v>
      </c>
      <c r="G263" s="12">
        <f t="shared" si="19"/>
        <v>197.5</v>
      </c>
      <c r="H263" s="7" t="s">
        <v>415</v>
      </c>
      <c r="I263" s="7" t="s">
        <v>423</v>
      </c>
      <c r="J263" s="7"/>
      <c r="K263" s="13" t="e">
        <f t="shared" ca="1" si="22"/>
        <v>#NAME?</v>
      </c>
    </row>
    <row r="264" spans="1:11">
      <c r="A264" s="2" t="s">
        <v>262</v>
      </c>
      <c r="B264" s="8"/>
      <c r="C264" s="1" t="s">
        <v>413</v>
      </c>
      <c r="D264" s="1" t="s">
        <v>428</v>
      </c>
      <c r="E264" s="10">
        <f>IFERROR(VLOOKUP(C264, [1]actualizado!A:B, 2, FALSE), E264)</f>
        <v>2370</v>
      </c>
      <c r="F264" s="11">
        <v>50</v>
      </c>
      <c r="G264" s="12">
        <f t="shared" si="19"/>
        <v>47.4</v>
      </c>
      <c r="H264" s="7"/>
      <c r="I264" s="7"/>
      <c r="J264" s="7"/>
      <c r="K264" s="13"/>
    </row>
    <row r="265" spans="1:11">
      <c r="A265" s="2" t="s">
        <v>263</v>
      </c>
      <c r="B265" s="8"/>
      <c r="C265" s="1" t="s">
        <v>413</v>
      </c>
      <c r="D265" s="1" t="s">
        <v>428</v>
      </c>
      <c r="E265" s="10">
        <f>IFERROR(VLOOKUP(C265, [1]actualizado!A:B, 2, FALSE), E265)</f>
        <v>2370</v>
      </c>
      <c r="F265" s="11">
        <v>24</v>
      </c>
      <c r="G265" s="12">
        <f t="shared" si="19"/>
        <v>98.75</v>
      </c>
      <c r="H265" s="7"/>
      <c r="I265" s="7"/>
      <c r="J265" s="7"/>
      <c r="K265" s="13"/>
    </row>
    <row r="266" spans="1:11">
      <c r="A266" s="2" t="s">
        <v>264</v>
      </c>
      <c r="B266" s="8"/>
      <c r="C266" s="1" t="s">
        <v>413</v>
      </c>
      <c r="D266" s="1" t="s">
        <v>428</v>
      </c>
      <c r="E266" s="10">
        <f>IFERROR(VLOOKUP(C266, [1]actualizado!A:B, 2, FALSE), E266)</f>
        <v>2370</v>
      </c>
      <c r="F266" s="11">
        <v>24</v>
      </c>
      <c r="G266" s="12">
        <f t="shared" si="19"/>
        <v>98.75</v>
      </c>
      <c r="H266" s="7"/>
      <c r="I266" s="7"/>
      <c r="J266" s="7"/>
      <c r="K266" s="13"/>
    </row>
    <row r="267" spans="1:11">
      <c r="A267" s="2" t="s">
        <v>265</v>
      </c>
      <c r="B267" s="8"/>
      <c r="C267" s="1" t="s">
        <v>413</v>
      </c>
      <c r="D267" s="1" t="s">
        <v>428</v>
      </c>
      <c r="E267" s="10">
        <f>IFERROR(VLOOKUP(C267, [1]actualizado!A:B, 2, FALSE), E267)</f>
        <v>2370</v>
      </c>
      <c r="F267" s="11">
        <v>24</v>
      </c>
      <c r="G267" s="12">
        <f t="shared" si="19"/>
        <v>98.75</v>
      </c>
      <c r="H267" s="7" t="s">
        <v>415</v>
      </c>
      <c r="I267" s="7" t="s">
        <v>423</v>
      </c>
      <c r="J267" s="7"/>
      <c r="K267" s="13" t="e">
        <f t="shared" ref="K267:K268" ca="1" si="23">_xludf.IFS(H267="SI",J267/F267,H267="NO",1)</f>
        <v>#NAME?</v>
      </c>
    </row>
    <row r="268" spans="1:11">
      <c r="A268" s="2" t="s">
        <v>266</v>
      </c>
      <c r="B268" s="8"/>
      <c r="C268" s="1" t="s">
        <v>413</v>
      </c>
      <c r="D268" s="1" t="s">
        <v>428</v>
      </c>
      <c r="E268" s="10">
        <f>IFERROR(VLOOKUP(C268, [1]actualizado!A:B, 2, FALSE), E268)</f>
        <v>2370</v>
      </c>
      <c r="F268" s="11">
        <v>24</v>
      </c>
      <c r="G268" s="12">
        <f t="shared" si="19"/>
        <v>98.75</v>
      </c>
      <c r="H268" s="7" t="s">
        <v>415</v>
      </c>
      <c r="I268" s="7" t="s">
        <v>423</v>
      </c>
      <c r="J268" s="7"/>
      <c r="K268" s="13" t="e">
        <f t="shared" ca="1" si="23"/>
        <v>#NAME?</v>
      </c>
    </row>
    <row r="269" spans="1:11">
      <c r="A269" s="1" t="s">
        <v>267</v>
      </c>
      <c r="B269" s="8"/>
      <c r="C269" s="1" t="s">
        <v>413</v>
      </c>
      <c r="D269" s="1" t="s">
        <v>428</v>
      </c>
      <c r="E269" s="10">
        <f>IFERROR(VLOOKUP(C269, [1]actualizado!A:B, 2, FALSE), E269)</f>
        <v>2370</v>
      </c>
      <c r="F269" s="11">
        <v>30</v>
      </c>
      <c r="G269" s="12">
        <f t="shared" si="19"/>
        <v>79</v>
      </c>
      <c r="H269" s="7"/>
      <c r="I269" s="7"/>
      <c r="J269" s="7"/>
      <c r="K269" s="13"/>
    </row>
    <row r="270" spans="1:11">
      <c r="A270" s="2" t="s">
        <v>268</v>
      </c>
      <c r="B270" s="8"/>
      <c r="C270" s="1" t="s">
        <v>413</v>
      </c>
      <c r="D270" s="1" t="s">
        <v>428</v>
      </c>
      <c r="E270" s="10">
        <f>IFERROR(VLOOKUP(C270, [1]actualizado!A:B, 2, FALSE), E270)</f>
        <v>2370</v>
      </c>
      <c r="F270" s="11">
        <v>12</v>
      </c>
      <c r="G270" s="12">
        <f t="shared" si="19"/>
        <v>197.5</v>
      </c>
      <c r="H270" s="7" t="s">
        <v>415</v>
      </c>
      <c r="I270" s="7" t="s">
        <v>423</v>
      </c>
      <c r="J270" s="7"/>
      <c r="K270" s="13" t="e">
        <f t="shared" ref="K270:K277" ca="1" si="24">_xludf.IFS(H270="SI",J270/F270,H270="NO",1)</f>
        <v>#NAME?</v>
      </c>
    </row>
    <row r="271" spans="1:11">
      <c r="A271" s="2" t="s">
        <v>269</v>
      </c>
      <c r="B271" s="8"/>
      <c r="C271" s="1" t="s">
        <v>413</v>
      </c>
      <c r="D271" s="1" t="s">
        <v>428</v>
      </c>
      <c r="E271" s="10">
        <f>IFERROR(VLOOKUP(C271, [1]actualizado!A:B, 2, FALSE), E271)</f>
        <v>2370</v>
      </c>
      <c r="F271" s="11">
        <v>12</v>
      </c>
      <c r="G271" s="12">
        <f t="shared" si="19"/>
        <v>197.5</v>
      </c>
      <c r="H271" s="7"/>
      <c r="I271" s="7"/>
      <c r="J271" s="7"/>
      <c r="K271" s="13" t="e">
        <f t="shared" ca="1" si="24"/>
        <v>#NAME?</v>
      </c>
    </row>
    <row r="272" spans="1:11">
      <c r="A272" s="2" t="s">
        <v>270</v>
      </c>
      <c r="B272" s="8"/>
      <c r="C272" s="1" t="s">
        <v>413</v>
      </c>
      <c r="D272" s="1" t="s">
        <v>428</v>
      </c>
      <c r="E272" s="10">
        <f>IFERROR(VLOOKUP(C272, [1]actualizado!A:B, 2, FALSE), E272)</f>
        <v>2370</v>
      </c>
      <c r="F272" s="11">
        <v>12</v>
      </c>
      <c r="G272" s="12">
        <f t="shared" si="19"/>
        <v>197.5</v>
      </c>
      <c r="H272" s="7"/>
      <c r="I272" s="7"/>
      <c r="J272" s="7"/>
      <c r="K272" s="13" t="e">
        <f t="shared" ca="1" si="24"/>
        <v>#NAME?</v>
      </c>
    </row>
    <row r="273" spans="1:11">
      <c r="A273" s="2" t="s">
        <v>271</v>
      </c>
      <c r="B273" s="8"/>
      <c r="C273" s="1" t="s">
        <v>413</v>
      </c>
      <c r="D273" s="1" t="s">
        <v>428</v>
      </c>
      <c r="E273" s="10">
        <f>IFERROR(VLOOKUP(C273, [1]actualizado!A:B, 2, FALSE), E273)</f>
        <v>2370</v>
      </c>
      <c r="F273" s="11">
        <v>12</v>
      </c>
      <c r="G273" s="12">
        <f t="shared" si="19"/>
        <v>197.5</v>
      </c>
      <c r="H273" s="7"/>
      <c r="I273" s="7"/>
      <c r="J273" s="7"/>
      <c r="K273" s="13" t="e">
        <f t="shared" ca="1" si="24"/>
        <v>#NAME?</v>
      </c>
    </row>
    <row r="274" spans="1:11">
      <c r="A274" s="2" t="s">
        <v>272</v>
      </c>
      <c r="B274" s="8"/>
      <c r="C274" s="1" t="s">
        <v>413</v>
      </c>
      <c r="D274" s="1" t="s">
        <v>428</v>
      </c>
      <c r="E274" s="10">
        <f>IFERROR(VLOOKUP(C274, [1]actualizado!A:B, 2, FALSE), E274)</f>
        <v>2370</v>
      </c>
      <c r="F274" s="11">
        <v>12</v>
      </c>
      <c r="G274" s="12">
        <f t="shared" si="19"/>
        <v>197.5</v>
      </c>
      <c r="H274" s="7"/>
      <c r="I274" s="7"/>
      <c r="J274" s="7"/>
      <c r="K274" s="13" t="e">
        <f t="shared" ca="1" si="24"/>
        <v>#NAME?</v>
      </c>
    </row>
    <row r="275" spans="1:11">
      <c r="A275" s="2" t="s">
        <v>273</v>
      </c>
      <c r="B275" s="8"/>
      <c r="C275" s="1" t="s">
        <v>413</v>
      </c>
      <c r="D275" s="1" t="s">
        <v>428</v>
      </c>
      <c r="E275" s="10">
        <f>IFERROR(VLOOKUP(C275, [1]actualizado!A:B, 2, FALSE), E275)</f>
        <v>2370</v>
      </c>
      <c r="F275" s="11">
        <v>12</v>
      </c>
      <c r="G275" s="12">
        <f t="shared" si="19"/>
        <v>197.5</v>
      </c>
      <c r="H275" s="7" t="s">
        <v>418</v>
      </c>
      <c r="I275" s="7" t="s">
        <v>423</v>
      </c>
      <c r="J275" s="7"/>
      <c r="K275" s="13" t="e">
        <f t="shared" ca="1" si="24"/>
        <v>#NAME?</v>
      </c>
    </row>
    <row r="276" spans="1:11">
      <c r="A276" s="1" t="s">
        <v>274</v>
      </c>
      <c r="B276" s="8"/>
      <c r="C276" s="1" t="s">
        <v>413</v>
      </c>
      <c r="D276" s="1" t="s">
        <v>429</v>
      </c>
      <c r="E276" s="10">
        <f>IFERROR(VLOOKUP(C276, [1]actualizado!A:B, 2, FALSE), E276)</f>
        <v>2370</v>
      </c>
      <c r="F276" s="11">
        <v>18</v>
      </c>
      <c r="G276" s="12">
        <f t="shared" si="19"/>
        <v>131.66666666666666</v>
      </c>
      <c r="H276" s="7" t="s">
        <v>418</v>
      </c>
      <c r="I276" s="7" t="s">
        <v>423</v>
      </c>
      <c r="J276" s="7"/>
      <c r="K276" s="13" t="e">
        <f t="shared" ca="1" si="24"/>
        <v>#NAME?</v>
      </c>
    </row>
    <row r="277" spans="1:11">
      <c r="A277" s="1" t="s">
        <v>275</v>
      </c>
      <c r="B277" s="8"/>
      <c r="C277" s="1" t="s">
        <v>413</v>
      </c>
      <c r="D277" s="1" t="s">
        <v>429</v>
      </c>
      <c r="E277" s="10">
        <f>IFERROR(VLOOKUP(C277, [1]actualizado!A:B, 2, FALSE), E277)</f>
        <v>2370</v>
      </c>
      <c r="F277" s="11">
        <v>18</v>
      </c>
      <c r="G277" s="12">
        <f t="shared" si="19"/>
        <v>131.66666666666666</v>
      </c>
      <c r="H277" s="7" t="s">
        <v>418</v>
      </c>
      <c r="I277" s="7" t="s">
        <v>416</v>
      </c>
      <c r="J277" s="7"/>
      <c r="K277" s="13" t="e">
        <f t="shared" ca="1" si="24"/>
        <v>#NAME?</v>
      </c>
    </row>
    <row r="278" spans="1:11">
      <c r="A278" s="1" t="s">
        <v>276</v>
      </c>
      <c r="B278" s="8"/>
      <c r="C278" s="1" t="s">
        <v>413</v>
      </c>
      <c r="D278" s="1" t="s">
        <v>429</v>
      </c>
      <c r="E278" s="10">
        <f>IFERROR(VLOOKUP(C278, [1]actualizado!A:B, 2, FALSE), E278)</f>
        <v>2370</v>
      </c>
      <c r="F278" s="11">
        <v>18</v>
      </c>
      <c r="G278" s="12">
        <f t="shared" si="19"/>
        <v>131.66666666666666</v>
      </c>
      <c r="H278" s="7"/>
      <c r="I278" s="7"/>
      <c r="J278" s="7"/>
      <c r="K278" s="13"/>
    </row>
    <row r="279" spans="1:11">
      <c r="A279" s="1" t="s">
        <v>277</v>
      </c>
      <c r="B279" s="8"/>
      <c r="C279" s="1" t="s">
        <v>413</v>
      </c>
      <c r="D279" s="1" t="s">
        <v>429</v>
      </c>
      <c r="E279" s="10">
        <f>IFERROR(VLOOKUP(C279, [1]actualizado!A:B, 2, FALSE), E279)</f>
        <v>2370</v>
      </c>
      <c r="F279" s="11">
        <v>8</v>
      </c>
      <c r="G279" s="12">
        <f t="shared" si="19"/>
        <v>296.25</v>
      </c>
      <c r="H279" s="7"/>
      <c r="I279" s="7"/>
      <c r="J279" s="7"/>
      <c r="K279" s="13"/>
    </row>
    <row r="280" spans="1:11">
      <c r="A280" s="1" t="s">
        <v>278</v>
      </c>
      <c r="B280" s="8"/>
      <c r="C280" s="1" t="s">
        <v>413</v>
      </c>
      <c r="D280" s="1" t="s">
        <v>429</v>
      </c>
      <c r="E280" s="10">
        <f>IFERROR(VLOOKUP(C280, [1]actualizado!A:B, 2, FALSE), E280)</f>
        <v>2370</v>
      </c>
      <c r="F280" s="11">
        <v>18</v>
      </c>
      <c r="G280" s="12">
        <f t="shared" si="19"/>
        <v>131.66666666666666</v>
      </c>
      <c r="H280" s="7"/>
      <c r="I280" s="7"/>
      <c r="J280" s="7"/>
      <c r="K280" s="13"/>
    </row>
    <row r="281" spans="1:11">
      <c r="A281" s="1" t="s">
        <v>279</v>
      </c>
      <c r="B281" s="8"/>
      <c r="C281" s="1" t="s">
        <v>413</v>
      </c>
      <c r="D281" s="1" t="s">
        <v>429</v>
      </c>
      <c r="E281" s="10">
        <f>IFERROR(VLOOKUP(C281, [1]actualizado!A:B, 2, FALSE), E281)</f>
        <v>2370</v>
      </c>
      <c r="F281" s="11">
        <v>8</v>
      </c>
      <c r="G281" s="12">
        <f t="shared" si="19"/>
        <v>296.25</v>
      </c>
      <c r="H281" s="7"/>
      <c r="I281" s="7"/>
      <c r="J281" s="7"/>
      <c r="K281" s="13"/>
    </row>
    <row r="282" spans="1:11">
      <c r="A282" s="1" t="s">
        <v>280</v>
      </c>
      <c r="B282" s="8"/>
      <c r="C282" s="1" t="s">
        <v>413</v>
      </c>
      <c r="D282" s="1" t="s">
        <v>429</v>
      </c>
      <c r="E282" s="10">
        <f>IFERROR(VLOOKUP(C282, [1]actualizado!A:B, 2, FALSE), E282)</f>
        <v>2370</v>
      </c>
      <c r="F282" s="11">
        <v>18</v>
      </c>
      <c r="G282" s="12">
        <f t="shared" si="19"/>
        <v>131.66666666666666</v>
      </c>
      <c r="H282" s="7"/>
      <c r="I282" s="7"/>
      <c r="J282" s="7"/>
      <c r="K282" s="13"/>
    </row>
    <row r="283" spans="1:11">
      <c r="A283" s="1" t="s">
        <v>281</v>
      </c>
      <c r="B283" s="8"/>
      <c r="C283" s="1" t="s">
        <v>413</v>
      </c>
      <c r="D283" s="1" t="s">
        <v>429</v>
      </c>
      <c r="E283" s="10">
        <f>IFERROR(VLOOKUP(C283, [1]actualizado!A:B, 2, FALSE), E283)</f>
        <v>2370</v>
      </c>
      <c r="F283" s="11">
        <v>8</v>
      </c>
      <c r="G283" s="12">
        <f t="shared" si="19"/>
        <v>296.25</v>
      </c>
      <c r="H283" s="7"/>
      <c r="I283" s="7"/>
      <c r="J283" s="7"/>
      <c r="K283" s="13"/>
    </row>
    <row r="284" spans="1:11">
      <c r="A284" s="2" t="s">
        <v>282</v>
      </c>
      <c r="B284" s="8"/>
      <c r="C284" s="1" t="s">
        <v>413</v>
      </c>
      <c r="D284" s="1" t="s">
        <v>429</v>
      </c>
      <c r="E284" s="10">
        <f>IFERROR(VLOOKUP(C284, [1]actualizado!A:B, 2, FALSE), E284)</f>
        <v>2370</v>
      </c>
      <c r="F284" s="11">
        <v>18</v>
      </c>
      <c r="G284" s="12">
        <f t="shared" si="19"/>
        <v>131.66666666666666</v>
      </c>
      <c r="H284" s="7" t="s">
        <v>418</v>
      </c>
      <c r="I284" s="7" t="s">
        <v>423</v>
      </c>
      <c r="J284" s="7"/>
      <c r="K284" s="13" t="e">
        <f t="shared" ref="K284:K290" ca="1" si="25">_xludf.IFS(H284="SI",J284/F284,H284="NO",1)</f>
        <v>#NAME?</v>
      </c>
    </row>
    <row r="285" spans="1:11">
      <c r="A285" s="2" t="s">
        <v>283</v>
      </c>
      <c r="B285" s="8"/>
      <c r="C285" s="1" t="s">
        <v>413</v>
      </c>
      <c r="D285" s="1" t="s">
        <v>429</v>
      </c>
      <c r="E285" s="10">
        <f>IFERROR(VLOOKUP(C285, [1]actualizado!A:B, 2, FALSE), E285)</f>
        <v>2370</v>
      </c>
      <c r="F285" s="11">
        <v>18</v>
      </c>
      <c r="G285" s="12">
        <f t="shared" si="19"/>
        <v>131.66666666666666</v>
      </c>
      <c r="H285" s="7" t="s">
        <v>418</v>
      </c>
      <c r="I285" s="7" t="s">
        <v>423</v>
      </c>
      <c r="J285" s="7"/>
      <c r="K285" s="13" t="e">
        <f t="shared" ca="1" si="25"/>
        <v>#NAME?</v>
      </c>
    </row>
    <row r="286" spans="1:11">
      <c r="A286" s="2" t="s">
        <v>284</v>
      </c>
      <c r="B286" s="8"/>
      <c r="C286" s="1" t="s">
        <v>413</v>
      </c>
      <c r="D286" s="1" t="s">
        <v>429</v>
      </c>
      <c r="E286" s="10">
        <f>IFERROR(VLOOKUP(C286, [1]actualizado!A:B, 2, FALSE), E286)</f>
        <v>2370</v>
      </c>
      <c r="F286" s="11">
        <v>18</v>
      </c>
      <c r="G286" s="12">
        <f t="shared" si="19"/>
        <v>131.66666666666666</v>
      </c>
      <c r="H286" s="7" t="s">
        <v>418</v>
      </c>
      <c r="I286" s="7" t="s">
        <v>423</v>
      </c>
      <c r="J286" s="7"/>
      <c r="K286" s="13" t="e">
        <f t="shared" ca="1" si="25"/>
        <v>#NAME?</v>
      </c>
    </row>
    <row r="287" spans="1:11">
      <c r="A287" s="2" t="s">
        <v>285</v>
      </c>
      <c r="B287" s="8"/>
      <c r="C287" s="1" t="s">
        <v>413</v>
      </c>
      <c r="D287" s="1" t="s">
        <v>429</v>
      </c>
      <c r="E287" s="10">
        <f>IFERROR(VLOOKUP(C287, [1]actualizado!A:B, 2, FALSE), E287)</f>
        <v>2370</v>
      </c>
      <c r="F287" s="11">
        <v>18</v>
      </c>
      <c r="G287" s="12">
        <f t="shared" si="19"/>
        <v>131.66666666666666</v>
      </c>
      <c r="H287" s="7" t="s">
        <v>418</v>
      </c>
      <c r="I287" s="7" t="s">
        <v>423</v>
      </c>
      <c r="J287" s="7"/>
      <c r="K287" s="13" t="e">
        <f t="shared" ca="1" si="25"/>
        <v>#NAME?</v>
      </c>
    </row>
    <row r="288" spans="1:11">
      <c r="A288" s="2" t="s">
        <v>286</v>
      </c>
      <c r="B288" s="8"/>
      <c r="C288" s="1" t="s">
        <v>413</v>
      </c>
      <c r="D288" s="1" t="s">
        <v>429</v>
      </c>
      <c r="E288" s="10">
        <f>IFERROR(VLOOKUP(C288, [1]actualizado!A:B, 2, FALSE), E288)</f>
        <v>2370</v>
      </c>
      <c r="F288" s="11">
        <v>18</v>
      </c>
      <c r="G288" s="12">
        <f t="shared" si="19"/>
        <v>131.66666666666666</v>
      </c>
      <c r="H288" s="7" t="s">
        <v>418</v>
      </c>
      <c r="I288" s="7" t="s">
        <v>416</v>
      </c>
      <c r="J288" s="7"/>
      <c r="K288" s="13" t="e">
        <f t="shared" ca="1" si="25"/>
        <v>#NAME?</v>
      </c>
    </row>
    <row r="289" spans="1:11">
      <c r="A289" s="2" t="s">
        <v>287</v>
      </c>
      <c r="B289" s="8"/>
      <c r="C289" s="1" t="s">
        <v>413</v>
      </c>
      <c r="D289" s="1" t="s">
        <v>429</v>
      </c>
      <c r="E289" s="10">
        <f>IFERROR(VLOOKUP(C289, [1]actualizado!A:B, 2, FALSE), E289)</f>
        <v>2370</v>
      </c>
      <c r="F289" s="11">
        <v>18</v>
      </c>
      <c r="G289" s="12">
        <f t="shared" si="19"/>
        <v>131.66666666666666</v>
      </c>
      <c r="H289" s="7" t="s">
        <v>418</v>
      </c>
      <c r="I289" s="7" t="s">
        <v>416</v>
      </c>
      <c r="J289" s="7"/>
      <c r="K289" s="13" t="e">
        <f t="shared" ca="1" si="25"/>
        <v>#NAME?</v>
      </c>
    </row>
    <row r="290" spans="1:11">
      <c r="A290" s="2" t="s">
        <v>288</v>
      </c>
      <c r="B290" s="8"/>
      <c r="C290" s="1" t="s">
        <v>413</v>
      </c>
      <c r="D290" s="1" t="s">
        <v>429</v>
      </c>
      <c r="E290" s="10">
        <f>IFERROR(VLOOKUP(C290, [1]actualizado!A:B, 2, FALSE), E290)</f>
        <v>2370</v>
      </c>
      <c r="F290" s="11">
        <v>18</v>
      </c>
      <c r="G290" s="12">
        <f t="shared" si="19"/>
        <v>131.66666666666666</v>
      </c>
      <c r="H290" s="7" t="s">
        <v>418</v>
      </c>
      <c r="I290" s="7" t="s">
        <v>416</v>
      </c>
      <c r="J290" s="7"/>
      <c r="K290" s="13" t="e">
        <f t="shared" ca="1" si="25"/>
        <v>#NAME?</v>
      </c>
    </row>
    <row r="291" spans="1:11">
      <c r="A291" s="2" t="s">
        <v>289</v>
      </c>
      <c r="B291" s="8"/>
      <c r="C291" s="1" t="s">
        <v>413</v>
      </c>
      <c r="D291" s="1" t="s">
        <v>429</v>
      </c>
      <c r="E291" s="10">
        <f>IFERROR(VLOOKUP(C291, [1]actualizado!A:B, 2, FALSE), E291)</f>
        <v>2370</v>
      </c>
      <c r="F291" s="11">
        <v>18</v>
      </c>
      <c r="G291" s="12">
        <f t="shared" si="19"/>
        <v>131.66666666666666</v>
      </c>
      <c r="H291" s="7"/>
      <c r="I291" s="7"/>
      <c r="J291" s="7"/>
      <c r="K291" s="13"/>
    </row>
    <row r="292" spans="1:11">
      <c r="A292" s="2" t="s">
        <v>290</v>
      </c>
      <c r="B292" s="8"/>
      <c r="C292" s="1" t="s">
        <v>413</v>
      </c>
      <c r="D292" s="1" t="s">
        <v>429</v>
      </c>
      <c r="E292" s="10">
        <f>IFERROR(VLOOKUP(C292, [1]actualizado!A:B, 2, FALSE), E292)</f>
        <v>2370</v>
      </c>
      <c r="F292" s="11">
        <v>18</v>
      </c>
      <c r="G292" s="12">
        <f t="shared" si="19"/>
        <v>131.66666666666666</v>
      </c>
      <c r="H292" s="7" t="s">
        <v>418</v>
      </c>
      <c r="I292" s="7" t="s">
        <v>416</v>
      </c>
      <c r="J292" s="7"/>
      <c r="K292" s="13" t="e">
        <f ca="1">_xludf.IFS(H292="SI",J292/F292,H292="NO",1)</f>
        <v>#NAME?</v>
      </c>
    </row>
    <row r="293" spans="1:11">
      <c r="A293" s="1" t="s">
        <v>291</v>
      </c>
      <c r="B293" s="8"/>
      <c r="C293" s="1" t="s">
        <v>413</v>
      </c>
      <c r="D293" s="1" t="s">
        <v>430</v>
      </c>
      <c r="E293" s="10">
        <f>IFERROR(VLOOKUP(C293, [1]actualizado!A:B, 2, FALSE), E293)</f>
        <v>2370</v>
      </c>
      <c r="F293" s="11">
        <v>1</v>
      </c>
      <c r="G293" s="12">
        <f t="shared" si="19"/>
        <v>2370</v>
      </c>
      <c r="H293" s="7"/>
      <c r="I293" s="7"/>
      <c r="J293" s="7"/>
      <c r="K293" s="13"/>
    </row>
    <row r="294" spans="1:11">
      <c r="A294" s="1" t="s">
        <v>292</v>
      </c>
      <c r="B294" s="8"/>
      <c r="C294" s="1" t="s">
        <v>413</v>
      </c>
      <c r="D294" s="1" t="s">
        <v>430</v>
      </c>
      <c r="E294" s="10">
        <f>IFERROR(VLOOKUP(C294, [1]actualizado!A:B, 2, FALSE), E294)</f>
        <v>2370</v>
      </c>
      <c r="F294" s="11">
        <v>1</v>
      </c>
      <c r="G294" s="12">
        <f t="shared" si="19"/>
        <v>2370</v>
      </c>
      <c r="H294" s="7" t="s">
        <v>418</v>
      </c>
      <c r="I294" s="7" t="s">
        <v>416</v>
      </c>
      <c r="J294" s="7"/>
      <c r="K294" s="13" t="e">
        <f t="shared" ref="K294:K296" ca="1" si="26">_xludf.IFS(H294="SI",J294/F294,H294="NO",1)</f>
        <v>#NAME?</v>
      </c>
    </row>
    <row r="295" spans="1:11">
      <c r="A295" s="1" t="s">
        <v>293</v>
      </c>
      <c r="B295" s="8"/>
      <c r="C295" s="1" t="s">
        <v>413</v>
      </c>
      <c r="D295" s="1" t="s">
        <v>430</v>
      </c>
      <c r="E295" s="10">
        <f>IFERROR(VLOOKUP(C295, [1]actualizado!A:B, 2, FALSE), E295)</f>
        <v>2370</v>
      </c>
      <c r="F295" s="11">
        <v>1</v>
      </c>
      <c r="G295" s="12">
        <f t="shared" si="19"/>
        <v>2370</v>
      </c>
      <c r="H295" s="7" t="s">
        <v>418</v>
      </c>
      <c r="I295" s="7" t="s">
        <v>416</v>
      </c>
      <c r="J295" s="7"/>
      <c r="K295" s="13" t="e">
        <f t="shared" ca="1" si="26"/>
        <v>#NAME?</v>
      </c>
    </row>
    <row r="296" spans="1:11">
      <c r="A296" s="2" t="s">
        <v>294</v>
      </c>
      <c r="B296" s="8"/>
      <c r="C296" s="1" t="s">
        <v>413</v>
      </c>
      <c r="D296" s="1" t="s">
        <v>430</v>
      </c>
      <c r="E296" s="10">
        <f>IFERROR(VLOOKUP(C296, [1]actualizado!A:B, 2, FALSE), E296)</f>
        <v>2370</v>
      </c>
      <c r="F296" s="11">
        <v>1</v>
      </c>
      <c r="G296" s="12">
        <f t="shared" si="19"/>
        <v>2370</v>
      </c>
      <c r="H296" s="7" t="s">
        <v>418</v>
      </c>
      <c r="I296" s="7" t="s">
        <v>416</v>
      </c>
      <c r="J296" s="7"/>
      <c r="K296" s="13" t="e">
        <f t="shared" ca="1" si="26"/>
        <v>#NAME?</v>
      </c>
    </row>
    <row r="297" spans="1:11">
      <c r="A297" s="2" t="s">
        <v>295</v>
      </c>
      <c r="B297" s="8"/>
      <c r="C297" s="1" t="s">
        <v>413</v>
      </c>
      <c r="D297" s="1" t="s">
        <v>430</v>
      </c>
      <c r="E297" s="10">
        <f>IFERROR(VLOOKUP(C297, [1]actualizado!A:B, 2, FALSE), E297)</f>
        <v>2370</v>
      </c>
      <c r="F297" s="11">
        <v>1</v>
      </c>
      <c r="G297" s="12">
        <f t="shared" si="19"/>
        <v>2370</v>
      </c>
      <c r="H297" s="7"/>
      <c r="I297" s="7"/>
      <c r="J297" s="7"/>
      <c r="K297" s="13"/>
    </row>
    <row r="298" spans="1:11">
      <c r="A298" s="2" t="s">
        <v>296</v>
      </c>
      <c r="B298" s="8"/>
      <c r="C298" s="1" t="s">
        <v>413</v>
      </c>
      <c r="D298" s="1" t="s">
        <v>430</v>
      </c>
      <c r="E298" s="10">
        <f>IFERROR(VLOOKUP(C298, [1]actualizado!A:B, 2, FALSE), E298)</f>
        <v>2370</v>
      </c>
      <c r="F298" s="11">
        <v>1</v>
      </c>
      <c r="G298" s="12">
        <f t="shared" si="19"/>
        <v>2370</v>
      </c>
      <c r="H298" s="7"/>
      <c r="I298" s="7"/>
      <c r="J298" s="7"/>
      <c r="K298" s="13"/>
    </row>
    <row r="299" spans="1:11">
      <c r="A299" s="2" t="s">
        <v>297</v>
      </c>
      <c r="B299" s="8"/>
      <c r="C299" s="1" t="s">
        <v>413</v>
      </c>
      <c r="D299" s="1" t="s">
        <v>430</v>
      </c>
      <c r="E299" s="10">
        <f>IFERROR(VLOOKUP(C299, [1]actualizado!A:B, 2, FALSE), E299)</f>
        <v>2370</v>
      </c>
      <c r="F299" s="11">
        <v>1</v>
      </c>
      <c r="G299" s="12">
        <f t="shared" si="19"/>
        <v>2370</v>
      </c>
      <c r="H299" s="7"/>
      <c r="I299" s="7"/>
      <c r="J299" s="7"/>
      <c r="K299" s="13"/>
    </row>
    <row r="300" spans="1:11">
      <c r="A300" s="2" t="s">
        <v>298</v>
      </c>
      <c r="B300" s="8"/>
      <c r="C300" s="1" t="s">
        <v>413</v>
      </c>
      <c r="D300" s="1" t="s">
        <v>430</v>
      </c>
      <c r="E300" s="10">
        <f>IFERROR(VLOOKUP(C300, [1]actualizado!A:B, 2, FALSE), E300)</f>
        <v>2370</v>
      </c>
      <c r="F300" s="11">
        <v>1</v>
      </c>
      <c r="G300" s="12">
        <f t="shared" si="19"/>
        <v>2370</v>
      </c>
      <c r="H300" s="7"/>
      <c r="I300" s="7"/>
      <c r="J300" s="7"/>
      <c r="K300" s="13"/>
    </row>
    <row r="301" spans="1:11">
      <c r="A301" s="2" t="s">
        <v>299</v>
      </c>
      <c r="B301" s="8"/>
      <c r="C301" s="1" t="s">
        <v>413</v>
      </c>
      <c r="D301" s="1" t="s">
        <v>430</v>
      </c>
      <c r="E301" s="10">
        <f>IFERROR(VLOOKUP(C301, [1]actualizado!A:B, 2, FALSE), E301)</f>
        <v>2370</v>
      </c>
      <c r="F301" s="11">
        <v>1</v>
      </c>
      <c r="G301" s="12">
        <f t="shared" si="19"/>
        <v>2370</v>
      </c>
      <c r="H301" s="7" t="s">
        <v>415</v>
      </c>
      <c r="I301" s="7" t="s">
        <v>417</v>
      </c>
      <c r="J301" s="7"/>
      <c r="K301" s="13" t="e">
        <f t="shared" ref="K301:K307" ca="1" si="27">_xludf.IFS(H301="SI",J301/F301,H301="NO",1)</f>
        <v>#NAME?</v>
      </c>
    </row>
    <row r="302" spans="1:11">
      <c r="A302" s="2" t="s">
        <v>300</v>
      </c>
      <c r="B302" s="8"/>
      <c r="C302" s="1" t="s">
        <v>413</v>
      </c>
      <c r="D302" s="1" t="s">
        <v>430</v>
      </c>
      <c r="E302" s="10">
        <f>IFERROR(VLOOKUP(C302, [1]actualizado!A:B, 2, FALSE), E302)</f>
        <v>2370</v>
      </c>
      <c r="F302" s="11">
        <v>1</v>
      </c>
      <c r="G302" s="12">
        <f t="shared" si="19"/>
        <v>2370</v>
      </c>
      <c r="H302" s="7" t="s">
        <v>415</v>
      </c>
      <c r="I302" s="7" t="s">
        <v>417</v>
      </c>
      <c r="J302" s="7"/>
      <c r="K302" s="13" t="e">
        <f t="shared" ca="1" si="27"/>
        <v>#NAME?</v>
      </c>
    </row>
    <row r="303" spans="1:11">
      <c r="A303" s="1" t="s">
        <v>301</v>
      </c>
      <c r="B303" s="8"/>
      <c r="C303" s="1" t="s">
        <v>413</v>
      </c>
      <c r="D303" s="1" t="s">
        <v>430</v>
      </c>
      <c r="E303" s="10">
        <f>IFERROR(VLOOKUP(C303, [1]actualizado!A:B, 2, FALSE), E303)</f>
        <v>2370</v>
      </c>
      <c r="F303" s="11">
        <v>1</v>
      </c>
      <c r="G303" s="12">
        <f t="shared" si="19"/>
        <v>2370</v>
      </c>
      <c r="H303" s="7" t="s">
        <v>415</v>
      </c>
      <c r="I303" s="7" t="s">
        <v>417</v>
      </c>
      <c r="J303" s="7"/>
      <c r="K303" s="13" t="e">
        <f t="shared" ca="1" si="27"/>
        <v>#NAME?</v>
      </c>
    </row>
    <row r="304" spans="1:11">
      <c r="A304" s="2" t="s">
        <v>302</v>
      </c>
      <c r="B304" s="8"/>
      <c r="C304" s="1" t="s">
        <v>413</v>
      </c>
      <c r="D304" s="1" t="s">
        <v>430</v>
      </c>
      <c r="E304" s="10">
        <f>IFERROR(VLOOKUP(C304, [1]actualizado!A:B, 2, FALSE), E304)</f>
        <v>2370</v>
      </c>
      <c r="F304" s="11">
        <v>1</v>
      </c>
      <c r="G304" s="12">
        <f t="shared" si="19"/>
        <v>2370</v>
      </c>
      <c r="H304" s="7" t="s">
        <v>415</v>
      </c>
      <c r="I304" s="7" t="s">
        <v>417</v>
      </c>
      <c r="J304" s="7"/>
      <c r="K304" s="13" t="e">
        <f t="shared" ca="1" si="27"/>
        <v>#NAME?</v>
      </c>
    </row>
    <row r="305" spans="1:11">
      <c r="A305" s="1" t="s">
        <v>303</v>
      </c>
      <c r="B305" s="8"/>
      <c r="C305" s="1" t="s">
        <v>413</v>
      </c>
      <c r="D305" s="1" t="s">
        <v>430</v>
      </c>
      <c r="E305" s="10">
        <f>IFERROR(VLOOKUP(C305, [1]actualizado!A:B, 2, FALSE), E305)</f>
        <v>2370</v>
      </c>
      <c r="F305" s="11">
        <v>1</v>
      </c>
      <c r="G305" s="12">
        <f t="shared" si="19"/>
        <v>2370</v>
      </c>
      <c r="H305" s="7" t="s">
        <v>415</v>
      </c>
      <c r="I305" s="7" t="s">
        <v>417</v>
      </c>
      <c r="J305" s="7"/>
      <c r="K305" s="13" t="e">
        <f t="shared" ca="1" si="27"/>
        <v>#NAME?</v>
      </c>
    </row>
    <row r="306" spans="1:11">
      <c r="A306" s="2" t="s">
        <v>304</v>
      </c>
      <c r="B306" s="8"/>
      <c r="C306" s="1" t="s">
        <v>413</v>
      </c>
      <c r="D306" s="1" t="s">
        <v>430</v>
      </c>
      <c r="E306" s="10">
        <f>IFERROR(VLOOKUP(C306, [1]actualizado!A:B, 2, FALSE), E306)</f>
        <v>2370</v>
      </c>
      <c r="F306" s="11">
        <v>1</v>
      </c>
      <c r="G306" s="12">
        <f t="shared" si="19"/>
        <v>2370</v>
      </c>
      <c r="H306" s="7" t="s">
        <v>415</v>
      </c>
      <c r="I306" s="7" t="s">
        <v>417</v>
      </c>
      <c r="J306" s="7"/>
      <c r="K306" s="13" t="e">
        <f t="shared" ca="1" si="27"/>
        <v>#NAME?</v>
      </c>
    </row>
    <row r="307" spans="1:11">
      <c r="A307" s="1" t="s">
        <v>305</v>
      </c>
      <c r="B307" s="8"/>
      <c r="C307" s="1" t="s">
        <v>413</v>
      </c>
      <c r="D307" s="1" t="s">
        <v>430</v>
      </c>
      <c r="E307" s="10">
        <f>IFERROR(VLOOKUP(C307, [1]actualizado!A:B, 2, FALSE), E307)</f>
        <v>2370</v>
      </c>
      <c r="F307" s="11">
        <v>1</v>
      </c>
      <c r="G307" s="12">
        <f t="shared" si="19"/>
        <v>2370</v>
      </c>
      <c r="H307" s="7" t="s">
        <v>415</v>
      </c>
      <c r="I307" s="7" t="s">
        <v>417</v>
      </c>
      <c r="J307" s="7"/>
      <c r="K307" s="13" t="e">
        <f t="shared" ca="1" si="27"/>
        <v>#NAME?</v>
      </c>
    </row>
    <row r="308" spans="1:11">
      <c r="A308" s="1" t="s">
        <v>306</v>
      </c>
      <c r="B308" s="8"/>
      <c r="C308" s="1" t="s">
        <v>413</v>
      </c>
      <c r="D308" s="1" t="s">
        <v>430</v>
      </c>
      <c r="E308" s="10">
        <f>IFERROR(VLOOKUP(C308, [1]actualizado!A:B, 2, FALSE), E308)</f>
        <v>2370</v>
      </c>
      <c r="F308" s="11">
        <v>1</v>
      </c>
      <c r="G308" s="12">
        <f t="shared" si="19"/>
        <v>2370</v>
      </c>
      <c r="H308" s="7"/>
      <c r="I308" s="7"/>
      <c r="J308" s="7"/>
      <c r="K308" s="13"/>
    </row>
    <row r="309" spans="1:11">
      <c r="A309" s="1" t="s">
        <v>307</v>
      </c>
      <c r="B309" s="8"/>
      <c r="C309" s="1" t="s">
        <v>413</v>
      </c>
      <c r="D309" s="1" t="s">
        <v>430</v>
      </c>
      <c r="E309" s="10">
        <f>IFERROR(VLOOKUP(C309, [1]actualizado!A:B, 2, FALSE), E309)</f>
        <v>2370</v>
      </c>
      <c r="F309" s="11">
        <v>1</v>
      </c>
      <c r="G309" s="12">
        <f t="shared" si="19"/>
        <v>2370</v>
      </c>
      <c r="H309" s="7"/>
      <c r="I309" s="7"/>
      <c r="J309" s="7"/>
      <c r="K309" s="13"/>
    </row>
    <row r="310" spans="1:11">
      <c r="A310" s="1" t="s">
        <v>308</v>
      </c>
      <c r="B310" s="8"/>
      <c r="C310" s="1" t="s">
        <v>413</v>
      </c>
      <c r="D310" s="1" t="s">
        <v>430</v>
      </c>
      <c r="E310" s="10">
        <f>IFERROR(VLOOKUP(C310, [1]actualizado!A:B, 2, FALSE), E310)</f>
        <v>2370</v>
      </c>
      <c r="F310" s="11">
        <v>1</v>
      </c>
      <c r="G310" s="12">
        <f t="shared" si="19"/>
        <v>2370</v>
      </c>
      <c r="H310" s="7"/>
      <c r="I310" s="7"/>
      <c r="J310" s="7"/>
      <c r="K310" s="13"/>
    </row>
    <row r="311" spans="1:11">
      <c r="A311" s="1" t="s">
        <v>309</v>
      </c>
      <c r="B311" s="8"/>
      <c r="C311" s="1" t="s">
        <v>413</v>
      </c>
      <c r="D311" s="1" t="s">
        <v>430</v>
      </c>
      <c r="E311" s="10">
        <f>IFERROR(VLOOKUP(C311, [1]actualizado!A:B, 2, FALSE), E311)</f>
        <v>2370</v>
      </c>
      <c r="F311" s="11">
        <v>1</v>
      </c>
      <c r="G311" s="12">
        <f t="shared" si="19"/>
        <v>2370</v>
      </c>
      <c r="H311" s="7"/>
      <c r="I311" s="7"/>
      <c r="J311" s="7"/>
      <c r="K311" s="13"/>
    </row>
    <row r="312" spans="1:11">
      <c r="A312" s="1" t="s">
        <v>310</v>
      </c>
      <c r="B312" s="8"/>
      <c r="C312" s="1" t="s">
        <v>413</v>
      </c>
      <c r="D312" s="1" t="s">
        <v>430</v>
      </c>
      <c r="E312" s="10">
        <f>IFERROR(VLOOKUP(C312, [1]actualizado!A:B, 2, FALSE), E312)</f>
        <v>2370</v>
      </c>
      <c r="F312" s="11">
        <v>1</v>
      </c>
      <c r="G312" s="12">
        <f t="shared" si="19"/>
        <v>2370</v>
      </c>
      <c r="H312" s="7"/>
      <c r="I312" s="7"/>
      <c r="J312" s="7"/>
      <c r="K312" s="13"/>
    </row>
    <row r="313" spans="1:11">
      <c r="A313" s="1" t="s">
        <v>311</v>
      </c>
      <c r="B313" s="8"/>
      <c r="C313" s="1" t="s">
        <v>413</v>
      </c>
      <c r="D313" s="1" t="s">
        <v>430</v>
      </c>
      <c r="E313" s="10">
        <f>IFERROR(VLOOKUP(C313, [1]actualizado!A:B, 2, FALSE), E313)</f>
        <v>2370</v>
      </c>
      <c r="F313" s="11">
        <v>1</v>
      </c>
      <c r="G313" s="12">
        <f t="shared" si="19"/>
        <v>2370</v>
      </c>
      <c r="H313" s="7"/>
      <c r="I313" s="7"/>
      <c r="J313" s="7"/>
      <c r="K313" s="13"/>
    </row>
    <row r="314" spans="1:11">
      <c r="A314" s="1" t="s">
        <v>312</v>
      </c>
      <c r="B314" s="8"/>
      <c r="C314" s="1" t="s">
        <v>413</v>
      </c>
      <c r="D314" s="1" t="s">
        <v>430</v>
      </c>
      <c r="E314" s="10">
        <f>IFERROR(VLOOKUP(C314, [1]actualizado!A:B, 2, FALSE), E314)</f>
        <v>2370</v>
      </c>
      <c r="F314" s="11">
        <v>1</v>
      </c>
      <c r="G314" s="12">
        <f t="shared" si="19"/>
        <v>2370</v>
      </c>
      <c r="H314" s="7"/>
      <c r="I314" s="7"/>
      <c r="J314" s="7"/>
      <c r="K314" s="13"/>
    </row>
    <row r="315" spans="1:11">
      <c r="A315" s="1" t="s">
        <v>313</v>
      </c>
      <c r="B315" s="8"/>
      <c r="C315" s="1" t="s">
        <v>413</v>
      </c>
      <c r="D315" s="1" t="s">
        <v>430</v>
      </c>
      <c r="E315" s="10">
        <f>IFERROR(VLOOKUP(C315, [1]actualizado!A:B, 2, FALSE), E315)</f>
        <v>2370</v>
      </c>
      <c r="F315" s="11">
        <v>1</v>
      </c>
      <c r="G315" s="12">
        <f t="shared" si="19"/>
        <v>2370</v>
      </c>
      <c r="H315" s="7"/>
      <c r="I315" s="7"/>
      <c r="J315" s="7"/>
      <c r="K315" s="13"/>
    </row>
    <row r="316" spans="1:11">
      <c r="A316" s="1" t="s">
        <v>314</v>
      </c>
      <c r="B316" s="8"/>
      <c r="C316" s="1" t="s">
        <v>413</v>
      </c>
      <c r="D316" s="1" t="s">
        <v>430</v>
      </c>
      <c r="E316" s="10">
        <f>IFERROR(VLOOKUP(C316, [1]actualizado!A:B, 2, FALSE), E316)</f>
        <v>2370</v>
      </c>
      <c r="F316" s="11">
        <v>1</v>
      </c>
      <c r="G316" s="12">
        <f t="shared" si="19"/>
        <v>2370</v>
      </c>
      <c r="H316" s="7"/>
      <c r="I316" s="7"/>
      <c r="J316" s="7"/>
      <c r="K316" s="13"/>
    </row>
    <row r="317" spans="1:11">
      <c r="A317" s="2" t="s">
        <v>315</v>
      </c>
      <c r="B317" s="8"/>
      <c r="C317" s="1" t="s">
        <v>413</v>
      </c>
      <c r="D317" s="1" t="s">
        <v>430</v>
      </c>
      <c r="E317" s="10">
        <f>IFERROR(VLOOKUP(C317, [1]actualizado!A:B, 2, FALSE), E317)</f>
        <v>2370</v>
      </c>
      <c r="F317" s="11">
        <v>1</v>
      </c>
      <c r="G317" s="12">
        <f t="shared" si="19"/>
        <v>2370</v>
      </c>
      <c r="H317" s="7"/>
      <c r="I317" s="7"/>
      <c r="J317" s="7"/>
      <c r="K317" s="13"/>
    </row>
    <row r="318" spans="1:11">
      <c r="A318" s="2" t="s">
        <v>316</v>
      </c>
      <c r="B318" s="8"/>
      <c r="C318" s="1" t="s">
        <v>413</v>
      </c>
      <c r="D318" s="1" t="s">
        <v>430</v>
      </c>
      <c r="E318" s="10">
        <f>IFERROR(VLOOKUP(C318, [1]actualizado!A:B, 2, FALSE), E318)</f>
        <v>2370</v>
      </c>
      <c r="F318" s="11">
        <v>1</v>
      </c>
      <c r="G318" s="12">
        <f t="shared" si="19"/>
        <v>2370</v>
      </c>
      <c r="H318" s="7"/>
      <c r="I318" s="7"/>
      <c r="J318" s="7"/>
      <c r="K318" s="13"/>
    </row>
    <row r="319" spans="1:11">
      <c r="A319" s="2" t="s">
        <v>317</v>
      </c>
      <c r="B319" s="8"/>
      <c r="C319" s="1" t="s">
        <v>413</v>
      </c>
      <c r="D319" s="1" t="s">
        <v>430</v>
      </c>
      <c r="E319" s="10">
        <f>IFERROR(VLOOKUP(C319, [1]actualizado!A:B, 2, FALSE), E319)</f>
        <v>2370</v>
      </c>
      <c r="F319" s="11">
        <v>1</v>
      </c>
      <c r="G319" s="12">
        <f t="shared" si="19"/>
        <v>2370</v>
      </c>
      <c r="H319" s="7"/>
      <c r="I319" s="7"/>
      <c r="J319" s="7"/>
      <c r="K319" s="13"/>
    </row>
    <row r="320" spans="1:11">
      <c r="A320" s="2" t="s">
        <v>318</v>
      </c>
      <c r="B320" s="8"/>
      <c r="C320" s="1" t="s">
        <v>413</v>
      </c>
      <c r="D320" s="1" t="s">
        <v>430</v>
      </c>
      <c r="E320" s="10">
        <f>IFERROR(VLOOKUP(C320, [1]actualizado!A:B, 2, FALSE), E320)</f>
        <v>2370</v>
      </c>
      <c r="F320" s="11">
        <v>1</v>
      </c>
      <c r="G320" s="12">
        <f t="shared" si="19"/>
        <v>2370</v>
      </c>
      <c r="H320" s="7"/>
      <c r="I320" s="7"/>
      <c r="J320" s="7"/>
      <c r="K320" s="13"/>
    </row>
    <row r="321" spans="1:11">
      <c r="A321" s="2" t="s">
        <v>319</v>
      </c>
      <c r="B321" s="8"/>
      <c r="C321" s="1" t="s">
        <v>413</v>
      </c>
      <c r="D321" s="1" t="s">
        <v>430</v>
      </c>
      <c r="E321" s="10">
        <f>IFERROR(VLOOKUP(C321, [1]actualizado!A:B, 2, FALSE), E321)</f>
        <v>2370</v>
      </c>
      <c r="F321" s="11">
        <v>1</v>
      </c>
      <c r="G321" s="12">
        <f t="shared" si="19"/>
        <v>2370</v>
      </c>
      <c r="H321" s="7"/>
      <c r="I321" s="7"/>
      <c r="J321" s="7"/>
      <c r="K321" s="13"/>
    </row>
    <row r="322" spans="1:11">
      <c r="A322" s="2" t="s">
        <v>320</v>
      </c>
      <c r="B322" s="8"/>
      <c r="C322" s="1" t="s">
        <v>413</v>
      </c>
      <c r="D322" s="1" t="s">
        <v>430</v>
      </c>
      <c r="E322" s="10">
        <f>IFERROR(VLOOKUP(C322, [1]actualizado!A:B, 2, FALSE), E322)</f>
        <v>2370</v>
      </c>
      <c r="F322" s="11">
        <v>1</v>
      </c>
      <c r="G322" s="12">
        <f t="shared" si="19"/>
        <v>2370</v>
      </c>
      <c r="H322" s="7"/>
      <c r="I322" s="7"/>
      <c r="J322" s="7"/>
      <c r="K322" s="13"/>
    </row>
    <row r="323" spans="1:11">
      <c r="A323" s="2" t="s">
        <v>321</v>
      </c>
      <c r="B323" s="8"/>
      <c r="C323" s="1" t="s">
        <v>413</v>
      </c>
      <c r="D323" s="1" t="s">
        <v>430</v>
      </c>
      <c r="E323" s="10">
        <f>IFERROR(VLOOKUP(C323, [1]actualizado!A:B, 2, FALSE), E323)</f>
        <v>2370</v>
      </c>
      <c r="F323" s="11">
        <v>1</v>
      </c>
      <c r="G323" s="12">
        <f t="shared" si="19"/>
        <v>2370</v>
      </c>
      <c r="H323" s="7"/>
      <c r="I323" s="7"/>
      <c r="J323" s="7"/>
      <c r="K323" s="13"/>
    </row>
    <row r="324" spans="1:11">
      <c r="A324" s="1" t="s">
        <v>322</v>
      </c>
      <c r="B324" s="8"/>
      <c r="C324" s="1" t="s">
        <v>413</v>
      </c>
      <c r="D324" s="1" t="s">
        <v>430</v>
      </c>
      <c r="E324" s="10">
        <f>IFERROR(VLOOKUP(C324, [1]actualizado!A:B, 2, FALSE), E324)</f>
        <v>2370</v>
      </c>
      <c r="F324" s="11">
        <v>1</v>
      </c>
      <c r="G324" s="12">
        <f t="shared" si="19"/>
        <v>2370</v>
      </c>
      <c r="H324" s="7" t="s">
        <v>418</v>
      </c>
      <c r="I324" s="7" t="s">
        <v>416</v>
      </c>
      <c r="J324" s="7"/>
      <c r="K324" s="13" t="e">
        <f t="shared" ref="K324:K331" ca="1" si="28">_xludf.IFS(H324="SI",J324/F324,H324="NO",1)</f>
        <v>#NAME?</v>
      </c>
    </row>
    <row r="325" spans="1:11">
      <c r="A325" s="1" t="s">
        <v>323</v>
      </c>
      <c r="B325" s="8"/>
      <c r="C325" s="1" t="s">
        <v>413</v>
      </c>
      <c r="D325" s="1" t="s">
        <v>430</v>
      </c>
      <c r="E325" s="10">
        <f>IFERROR(VLOOKUP(C325, [1]actualizado!A:B, 2, FALSE), E325)</f>
        <v>2370</v>
      </c>
      <c r="F325" s="11">
        <v>1</v>
      </c>
      <c r="G325" s="12">
        <f t="shared" si="19"/>
        <v>2370</v>
      </c>
      <c r="H325" s="7" t="s">
        <v>415</v>
      </c>
      <c r="I325" s="7" t="s">
        <v>417</v>
      </c>
      <c r="J325" s="7"/>
      <c r="K325" s="13" t="e">
        <f t="shared" ca="1" si="28"/>
        <v>#NAME?</v>
      </c>
    </row>
    <row r="326" spans="1:11">
      <c r="A326" s="1" t="s">
        <v>324</v>
      </c>
      <c r="B326" s="8"/>
      <c r="C326" s="1" t="s">
        <v>413</v>
      </c>
      <c r="D326" s="1" t="s">
        <v>430</v>
      </c>
      <c r="E326" s="10">
        <f>IFERROR(VLOOKUP(C326, [1]actualizado!A:B, 2, FALSE), E326)</f>
        <v>2370</v>
      </c>
      <c r="F326" s="11">
        <v>1</v>
      </c>
      <c r="G326" s="12">
        <f t="shared" si="19"/>
        <v>2370</v>
      </c>
      <c r="H326" s="7" t="s">
        <v>418</v>
      </c>
      <c r="I326" s="7" t="s">
        <v>423</v>
      </c>
      <c r="J326" s="7"/>
      <c r="K326" s="13" t="e">
        <f t="shared" ca="1" si="28"/>
        <v>#NAME?</v>
      </c>
    </row>
    <row r="327" spans="1:11">
      <c r="A327" s="1" t="s">
        <v>325</v>
      </c>
      <c r="B327" s="8"/>
      <c r="C327" s="1" t="s">
        <v>413</v>
      </c>
      <c r="D327" s="1" t="s">
        <v>430</v>
      </c>
      <c r="E327" s="10">
        <f>IFERROR(VLOOKUP(C327, [1]actualizado!A:B, 2, FALSE), E327)</f>
        <v>2370</v>
      </c>
      <c r="F327" s="11">
        <v>1</v>
      </c>
      <c r="G327" s="12">
        <f t="shared" si="19"/>
        <v>2370</v>
      </c>
      <c r="H327" s="7" t="s">
        <v>418</v>
      </c>
      <c r="I327" s="7" t="s">
        <v>423</v>
      </c>
      <c r="J327" s="7"/>
      <c r="K327" s="13" t="e">
        <f t="shared" ca="1" si="28"/>
        <v>#NAME?</v>
      </c>
    </row>
    <row r="328" spans="1:11">
      <c r="A328" s="1" t="s">
        <v>326</v>
      </c>
      <c r="B328" s="8"/>
      <c r="C328" s="1" t="s">
        <v>413</v>
      </c>
      <c r="D328" s="1" t="s">
        <v>430</v>
      </c>
      <c r="E328" s="10">
        <f>IFERROR(VLOOKUP(C328, [1]actualizado!A:B, 2, FALSE), E328)</f>
        <v>2370</v>
      </c>
      <c r="F328" s="11">
        <v>1</v>
      </c>
      <c r="G328" s="12">
        <f t="shared" si="19"/>
        <v>2370</v>
      </c>
      <c r="H328" s="7" t="s">
        <v>415</v>
      </c>
      <c r="I328" s="7" t="s">
        <v>417</v>
      </c>
      <c r="J328" s="7"/>
      <c r="K328" s="13" t="e">
        <f t="shared" ca="1" si="28"/>
        <v>#NAME?</v>
      </c>
    </row>
    <row r="329" spans="1:11">
      <c r="A329" s="1" t="s">
        <v>327</v>
      </c>
      <c r="B329" s="8"/>
      <c r="C329" s="1" t="s">
        <v>413</v>
      </c>
      <c r="D329" s="1" t="s">
        <v>430</v>
      </c>
      <c r="E329" s="10">
        <f>IFERROR(VLOOKUP(C329, [1]actualizado!A:B, 2, FALSE), E329)</f>
        <v>2370</v>
      </c>
      <c r="F329" s="11">
        <v>1</v>
      </c>
      <c r="G329" s="12">
        <f t="shared" si="19"/>
        <v>2370</v>
      </c>
      <c r="H329" s="7" t="s">
        <v>418</v>
      </c>
      <c r="I329" s="7" t="s">
        <v>423</v>
      </c>
      <c r="J329" s="7"/>
      <c r="K329" s="13" t="e">
        <f t="shared" ca="1" si="28"/>
        <v>#NAME?</v>
      </c>
    </row>
    <row r="330" spans="1:11">
      <c r="A330" s="1" t="s">
        <v>328</v>
      </c>
      <c r="B330" s="8"/>
      <c r="C330" s="1" t="s">
        <v>413</v>
      </c>
      <c r="D330" s="1" t="s">
        <v>430</v>
      </c>
      <c r="E330" s="10">
        <f>IFERROR(VLOOKUP(C330, [1]actualizado!A:B, 2, FALSE), E330)</f>
        <v>2370</v>
      </c>
      <c r="F330" s="11">
        <v>1</v>
      </c>
      <c r="G330" s="12">
        <f t="shared" si="19"/>
        <v>2370</v>
      </c>
      <c r="H330" s="7" t="s">
        <v>418</v>
      </c>
      <c r="I330" s="7" t="s">
        <v>416</v>
      </c>
      <c r="J330" s="7"/>
      <c r="K330" s="13" t="e">
        <f t="shared" ca="1" si="28"/>
        <v>#NAME?</v>
      </c>
    </row>
    <row r="331" spans="1:11">
      <c r="A331" s="1" t="s">
        <v>329</v>
      </c>
      <c r="B331" s="8"/>
      <c r="C331" s="1" t="s">
        <v>413</v>
      </c>
      <c r="D331" s="1" t="s">
        <v>430</v>
      </c>
      <c r="E331" s="10">
        <f>IFERROR(VLOOKUP(C331, [1]actualizado!A:B, 2, FALSE), E331)</f>
        <v>2370</v>
      </c>
      <c r="F331" s="11">
        <v>1</v>
      </c>
      <c r="G331" s="12">
        <f t="shared" si="19"/>
        <v>2370</v>
      </c>
      <c r="H331" s="7" t="s">
        <v>418</v>
      </c>
      <c r="I331" s="7" t="s">
        <v>417</v>
      </c>
      <c r="J331" s="7"/>
      <c r="K331" s="13" t="e">
        <f t="shared" ca="1" si="28"/>
        <v>#NAME?</v>
      </c>
    </row>
    <row r="332" spans="1:11">
      <c r="A332" s="1" t="s">
        <v>330</v>
      </c>
      <c r="B332" s="8"/>
      <c r="C332" s="1" t="s">
        <v>413</v>
      </c>
      <c r="D332" s="1" t="s">
        <v>430</v>
      </c>
      <c r="E332" s="10">
        <f>IFERROR(VLOOKUP(C332, [1]actualizado!A:B, 2, FALSE), E332)</f>
        <v>2370</v>
      </c>
      <c r="F332" s="11">
        <v>1</v>
      </c>
      <c r="G332" s="12">
        <f t="shared" si="19"/>
        <v>2370</v>
      </c>
      <c r="H332" s="7"/>
      <c r="I332" s="7"/>
      <c r="J332" s="7"/>
      <c r="K332" s="13"/>
    </row>
    <row r="333" spans="1:11">
      <c r="A333" s="1" t="s">
        <v>331</v>
      </c>
      <c r="B333" s="8"/>
      <c r="C333" s="1" t="s">
        <v>413</v>
      </c>
      <c r="D333" s="1" t="s">
        <v>430</v>
      </c>
      <c r="E333" s="10">
        <f>IFERROR(VLOOKUP(C333, [1]actualizado!A:B, 2, FALSE), E333)</f>
        <v>2370</v>
      </c>
      <c r="F333" s="11">
        <v>1</v>
      </c>
      <c r="G333" s="12">
        <f t="shared" si="19"/>
        <v>2370</v>
      </c>
      <c r="H333" s="7" t="s">
        <v>418</v>
      </c>
      <c r="I333" s="7" t="s">
        <v>417</v>
      </c>
      <c r="J333" s="7"/>
      <c r="K333" s="13" t="e">
        <f t="shared" ref="K333:K337" ca="1" si="29">_xludf.IFS(H333="SI",J333/F333,H333="NO",1)</f>
        <v>#NAME?</v>
      </c>
    </row>
    <row r="334" spans="1:11">
      <c r="A334" s="1" t="s">
        <v>332</v>
      </c>
      <c r="B334" s="8"/>
      <c r="C334" s="1" t="s">
        <v>413</v>
      </c>
      <c r="D334" s="1" t="s">
        <v>430</v>
      </c>
      <c r="E334" s="10">
        <f>IFERROR(VLOOKUP(C334, [1]actualizado!A:B, 2, FALSE), E334)</f>
        <v>2370</v>
      </c>
      <c r="F334" s="11">
        <v>1</v>
      </c>
      <c r="G334" s="12">
        <f t="shared" si="19"/>
        <v>2370</v>
      </c>
      <c r="H334" s="7"/>
      <c r="I334" s="7"/>
      <c r="J334" s="7"/>
      <c r="K334" s="13" t="e">
        <f t="shared" ca="1" si="29"/>
        <v>#NAME?</v>
      </c>
    </row>
    <row r="335" spans="1:11">
      <c r="A335" s="2" t="s">
        <v>333</v>
      </c>
      <c r="B335" s="8"/>
      <c r="C335" s="1" t="s">
        <v>413</v>
      </c>
      <c r="D335" s="1" t="s">
        <v>430</v>
      </c>
      <c r="E335" s="10">
        <f>IFERROR(VLOOKUP(C335, [1]actualizado!A:B, 2, FALSE), E335)</f>
        <v>2370</v>
      </c>
      <c r="F335" s="11">
        <v>1</v>
      </c>
      <c r="G335" s="12">
        <f t="shared" si="19"/>
        <v>2370</v>
      </c>
      <c r="H335" s="7"/>
      <c r="I335" s="7"/>
      <c r="J335" s="7"/>
      <c r="K335" s="13" t="e">
        <f t="shared" ca="1" si="29"/>
        <v>#NAME?</v>
      </c>
    </row>
    <row r="336" spans="1:11">
      <c r="A336" s="2" t="s">
        <v>334</v>
      </c>
      <c r="B336" s="8"/>
      <c r="C336" s="1" t="s">
        <v>413</v>
      </c>
      <c r="D336" s="1" t="s">
        <v>430</v>
      </c>
      <c r="E336" s="10">
        <f>IFERROR(VLOOKUP(C336, [1]actualizado!A:B, 2, FALSE), E336)</f>
        <v>2370</v>
      </c>
      <c r="F336" s="11">
        <v>1</v>
      </c>
      <c r="G336" s="12">
        <f t="shared" si="19"/>
        <v>2370</v>
      </c>
      <c r="H336" s="7"/>
      <c r="I336" s="7"/>
      <c r="J336" s="7"/>
      <c r="K336" s="13" t="e">
        <f t="shared" ca="1" si="29"/>
        <v>#NAME?</v>
      </c>
    </row>
    <row r="337" spans="1:11">
      <c r="A337" s="2" t="s">
        <v>335</v>
      </c>
      <c r="B337" s="8"/>
      <c r="C337" s="1" t="s">
        <v>413</v>
      </c>
      <c r="D337" s="1" t="s">
        <v>430</v>
      </c>
      <c r="E337" s="10">
        <f>IFERROR(VLOOKUP(C337, [1]actualizado!A:B, 2, FALSE), E337)</f>
        <v>2370</v>
      </c>
      <c r="F337" s="11">
        <v>1</v>
      </c>
      <c r="G337" s="12">
        <f t="shared" si="19"/>
        <v>2370</v>
      </c>
      <c r="H337" s="7"/>
      <c r="I337" s="7"/>
      <c r="J337" s="7"/>
      <c r="K337" s="13" t="e">
        <f t="shared" ca="1" si="29"/>
        <v>#NAME?</v>
      </c>
    </row>
    <row r="338" spans="1:11">
      <c r="A338" s="2" t="s">
        <v>336</v>
      </c>
      <c r="B338" s="8"/>
      <c r="C338" s="1" t="s">
        <v>413</v>
      </c>
      <c r="D338" s="1" t="s">
        <v>430</v>
      </c>
      <c r="E338" s="10">
        <f>IFERROR(VLOOKUP(C338, [1]actualizado!A:B, 2, FALSE), E338)</f>
        <v>2370</v>
      </c>
      <c r="F338" s="11">
        <v>1</v>
      </c>
      <c r="G338" s="12">
        <f t="shared" si="19"/>
        <v>2370</v>
      </c>
      <c r="H338" s="7"/>
      <c r="I338" s="7"/>
      <c r="J338" s="7"/>
      <c r="K338" s="13"/>
    </row>
    <row r="339" spans="1:11">
      <c r="A339" s="2" t="s">
        <v>337</v>
      </c>
      <c r="B339" s="8"/>
      <c r="C339" s="1" t="s">
        <v>413</v>
      </c>
      <c r="D339" s="1" t="s">
        <v>430</v>
      </c>
      <c r="E339" s="10">
        <f>IFERROR(VLOOKUP(C339, [1]actualizado!A:B, 2, FALSE), E339)</f>
        <v>2370</v>
      </c>
      <c r="F339" s="11">
        <v>1</v>
      </c>
      <c r="G339" s="12">
        <f t="shared" si="19"/>
        <v>2370</v>
      </c>
      <c r="H339" s="7"/>
      <c r="I339" s="7"/>
      <c r="J339" s="7"/>
      <c r="K339" s="13"/>
    </row>
    <row r="340" spans="1:11">
      <c r="A340" s="2" t="s">
        <v>338</v>
      </c>
      <c r="B340" s="8"/>
      <c r="C340" s="1" t="s">
        <v>413</v>
      </c>
      <c r="D340" s="1" t="s">
        <v>430</v>
      </c>
      <c r="E340" s="10">
        <f>IFERROR(VLOOKUP(C340, [1]actualizado!A:B, 2, FALSE), E340)</f>
        <v>2370</v>
      </c>
      <c r="F340" s="11">
        <v>1</v>
      </c>
      <c r="G340" s="12">
        <f t="shared" si="19"/>
        <v>2370</v>
      </c>
      <c r="H340" s="7"/>
      <c r="I340" s="7"/>
      <c r="J340" s="7"/>
      <c r="K340" s="13"/>
    </row>
    <row r="341" spans="1:11">
      <c r="A341" s="1" t="s">
        <v>339</v>
      </c>
      <c r="B341" s="8"/>
      <c r="C341" s="1" t="s">
        <v>413</v>
      </c>
      <c r="D341" s="1" t="s">
        <v>430</v>
      </c>
      <c r="E341" s="10">
        <f>IFERROR(VLOOKUP(C341, [1]actualizado!A:B, 2, FALSE), E341)</f>
        <v>2370</v>
      </c>
      <c r="F341" s="11">
        <v>10</v>
      </c>
      <c r="G341" s="12">
        <f t="shared" si="19"/>
        <v>237</v>
      </c>
      <c r="H341" s="7"/>
      <c r="I341" s="7"/>
      <c r="J341" s="7"/>
      <c r="K341" s="13"/>
    </row>
    <row r="342" spans="1:11">
      <c r="A342" s="2" t="s">
        <v>340</v>
      </c>
      <c r="B342" s="8"/>
      <c r="C342" s="1" t="s">
        <v>413</v>
      </c>
      <c r="D342" s="1" t="s">
        <v>430</v>
      </c>
      <c r="E342" s="10">
        <f>IFERROR(VLOOKUP(C342, [1]actualizado!A:B, 2, FALSE), E342)</f>
        <v>2370</v>
      </c>
      <c r="F342" s="11">
        <v>12</v>
      </c>
      <c r="G342" s="12">
        <f t="shared" si="19"/>
        <v>197.5</v>
      </c>
      <c r="H342" s="7"/>
      <c r="I342" s="7"/>
      <c r="J342" s="7"/>
      <c r="K342" s="13" t="e">
        <f t="shared" ref="K342:K343" ca="1" si="30">_xludf.IFS(H342="SI",J342/F342,H342="NO",1)</f>
        <v>#NAME?</v>
      </c>
    </row>
    <row r="343" spans="1:11">
      <c r="A343" s="2" t="s">
        <v>341</v>
      </c>
      <c r="B343" s="8"/>
      <c r="C343" s="1" t="s">
        <v>413</v>
      </c>
      <c r="D343" s="1" t="s">
        <v>430</v>
      </c>
      <c r="E343" s="10">
        <f>IFERROR(VLOOKUP(C343, [1]actualizado!A:B, 2, FALSE), E343)</f>
        <v>2370</v>
      </c>
      <c r="F343" s="11">
        <v>1</v>
      </c>
      <c r="G343" s="12">
        <f t="shared" si="19"/>
        <v>2370</v>
      </c>
      <c r="H343" s="7"/>
      <c r="I343" s="7"/>
      <c r="J343" s="7"/>
      <c r="K343" s="13" t="e">
        <f t="shared" ca="1" si="30"/>
        <v>#NAME?</v>
      </c>
    </row>
    <row r="344" spans="1:11">
      <c r="A344" s="1" t="s">
        <v>342</v>
      </c>
      <c r="B344" s="8"/>
      <c r="C344" s="1" t="s">
        <v>413</v>
      </c>
      <c r="D344" s="1" t="s">
        <v>430</v>
      </c>
      <c r="E344" s="10">
        <f>IFERROR(VLOOKUP(C344, [1]actualizado!A:B, 2, FALSE), E344)</f>
        <v>2370</v>
      </c>
      <c r="F344" s="11">
        <v>1</v>
      </c>
      <c r="G344" s="12">
        <f t="shared" si="19"/>
        <v>2370</v>
      </c>
      <c r="H344" s="7"/>
      <c r="I344" s="7"/>
      <c r="J344" s="7"/>
      <c r="K344" s="13"/>
    </row>
    <row r="345" spans="1:11">
      <c r="A345" s="1" t="s">
        <v>343</v>
      </c>
      <c r="B345" s="8"/>
      <c r="C345" s="1" t="s">
        <v>413</v>
      </c>
      <c r="D345" s="1" t="s">
        <v>430</v>
      </c>
      <c r="E345" s="10">
        <f>IFERROR(VLOOKUP(C345, [1]actualizado!A:B, 2, FALSE), E345)</f>
        <v>2370</v>
      </c>
      <c r="F345" s="11">
        <v>1</v>
      </c>
      <c r="G345" s="12">
        <f t="shared" si="19"/>
        <v>2370</v>
      </c>
      <c r="H345" s="7"/>
      <c r="I345" s="7"/>
      <c r="J345" s="7"/>
      <c r="K345" s="13"/>
    </row>
    <row r="346" spans="1:11">
      <c r="A346" s="1" t="s">
        <v>344</v>
      </c>
      <c r="B346" s="8"/>
      <c r="C346" s="1" t="s">
        <v>413</v>
      </c>
      <c r="D346" s="1" t="s">
        <v>430</v>
      </c>
      <c r="E346" s="10">
        <f>IFERROR(VLOOKUP(C346, [1]actualizado!A:B, 2, FALSE), E346)</f>
        <v>2370</v>
      </c>
      <c r="F346" s="11">
        <v>1</v>
      </c>
      <c r="G346" s="12">
        <f t="shared" si="19"/>
        <v>2370</v>
      </c>
      <c r="H346" s="7"/>
      <c r="I346" s="7"/>
      <c r="J346" s="7"/>
      <c r="K346" s="13"/>
    </row>
    <row r="347" spans="1:11">
      <c r="A347" s="1" t="s">
        <v>345</v>
      </c>
      <c r="B347" s="8"/>
      <c r="C347" s="1" t="s">
        <v>413</v>
      </c>
      <c r="D347" s="1" t="s">
        <v>430</v>
      </c>
      <c r="E347" s="10">
        <f>IFERROR(VLOOKUP(C347, [1]actualizado!A:B, 2, FALSE), E347)</f>
        <v>2370</v>
      </c>
      <c r="F347" s="11">
        <v>1</v>
      </c>
      <c r="G347" s="12">
        <f t="shared" si="19"/>
        <v>2370</v>
      </c>
      <c r="H347" s="7"/>
      <c r="I347" s="7"/>
      <c r="J347" s="7"/>
      <c r="K347" s="13"/>
    </row>
    <row r="348" spans="1:11">
      <c r="A348" s="1" t="s">
        <v>346</v>
      </c>
      <c r="B348" s="8"/>
      <c r="C348" s="1" t="s">
        <v>413</v>
      </c>
      <c r="D348" s="1" t="s">
        <v>430</v>
      </c>
      <c r="E348" s="10">
        <f>IFERROR(VLOOKUP(C348, [1]actualizado!A:B, 2, FALSE), E348)</f>
        <v>2370</v>
      </c>
      <c r="F348" s="11">
        <v>1</v>
      </c>
      <c r="G348" s="12">
        <f t="shared" si="19"/>
        <v>2370</v>
      </c>
      <c r="H348" s="7"/>
      <c r="I348" s="7"/>
      <c r="J348" s="7"/>
      <c r="K348" s="13"/>
    </row>
    <row r="349" spans="1:11">
      <c r="A349" s="1" t="s">
        <v>347</v>
      </c>
      <c r="B349" s="8"/>
      <c r="C349" s="1" t="s">
        <v>413</v>
      </c>
      <c r="D349" s="1" t="s">
        <v>430</v>
      </c>
      <c r="E349" s="10">
        <f>IFERROR(VLOOKUP(C349, [1]actualizado!A:B, 2, FALSE), E349)</f>
        <v>2370</v>
      </c>
      <c r="F349" s="11">
        <v>1</v>
      </c>
      <c r="G349" s="12">
        <f t="shared" si="19"/>
        <v>2370</v>
      </c>
      <c r="H349" s="7"/>
      <c r="I349" s="7"/>
      <c r="J349" s="7"/>
      <c r="K349" s="13"/>
    </row>
    <row r="350" spans="1:11">
      <c r="A350" s="1" t="s">
        <v>348</v>
      </c>
      <c r="B350" s="8"/>
      <c r="C350" s="1" t="s">
        <v>413</v>
      </c>
      <c r="D350" s="1" t="s">
        <v>430</v>
      </c>
      <c r="E350" s="10">
        <f>IFERROR(VLOOKUP(C350, [1]actualizado!A:B, 2, FALSE), E350)</f>
        <v>2370</v>
      </c>
      <c r="F350" s="11">
        <v>1</v>
      </c>
      <c r="G350" s="12">
        <f t="shared" si="19"/>
        <v>2370</v>
      </c>
      <c r="H350" s="7"/>
      <c r="I350" s="7"/>
      <c r="J350" s="7"/>
      <c r="K350" s="13"/>
    </row>
    <row r="351" spans="1:11">
      <c r="A351" s="2" t="s">
        <v>349</v>
      </c>
      <c r="B351" s="8"/>
      <c r="C351" s="1" t="s">
        <v>413</v>
      </c>
      <c r="D351" s="1" t="s">
        <v>430</v>
      </c>
      <c r="E351" s="10">
        <f>IFERROR(VLOOKUP(C351, [1]actualizado!A:B, 2, FALSE), E351)</f>
        <v>2370</v>
      </c>
      <c r="F351" s="11">
        <v>1</v>
      </c>
      <c r="G351" s="12">
        <f t="shared" si="19"/>
        <v>2370</v>
      </c>
      <c r="H351" s="7"/>
      <c r="I351" s="7"/>
      <c r="J351" s="7"/>
      <c r="K351" s="13" t="e">
        <f t="shared" ref="K351:K352" ca="1" si="31">_xludf.IFS(H351="SI",J351/F351,H351="NO",1)</f>
        <v>#NAME?</v>
      </c>
    </row>
    <row r="352" spans="1:11">
      <c r="A352" s="2" t="s">
        <v>350</v>
      </c>
      <c r="B352" s="8"/>
      <c r="C352" s="1" t="s">
        <v>413</v>
      </c>
      <c r="D352" s="1" t="s">
        <v>430</v>
      </c>
      <c r="E352" s="10">
        <f>IFERROR(VLOOKUP(C352, [1]actualizado!A:B, 2, FALSE), E352)</f>
        <v>2370</v>
      </c>
      <c r="F352" s="11">
        <v>1</v>
      </c>
      <c r="G352" s="12">
        <f t="shared" si="19"/>
        <v>2370</v>
      </c>
      <c r="H352" s="7"/>
      <c r="I352" s="7"/>
      <c r="J352" s="7"/>
      <c r="K352" s="13" t="e">
        <f t="shared" ca="1" si="31"/>
        <v>#NAME?</v>
      </c>
    </row>
    <row r="353" spans="1:11">
      <c r="A353" s="2" t="s">
        <v>351</v>
      </c>
      <c r="B353" s="8"/>
      <c r="C353" s="1" t="s">
        <v>413</v>
      </c>
      <c r="D353" s="1" t="s">
        <v>430</v>
      </c>
      <c r="E353" s="10">
        <f>IFERROR(VLOOKUP(C353, [1]actualizado!A:B, 2, FALSE), E353)</f>
        <v>2370</v>
      </c>
      <c r="F353" s="11">
        <v>1</v>
      </c>
      <c r="G353" s="12">
        <f t="shared" si="19"/>
        <v>2370</v>
      </c>
      <c r="H353" s="7"/>
      <c r="I353" s="7"/>
      <c r="J353" s="7"/>
      <c r="K353" s="13"/>
    </row>
    <row r="354" spans="1:11">
      <c r="A354" s="2" t="s">
        <v>352</v>
      </c>
      <c r="B354" s="8"/>
      <c r="C354" s="1" t="s">
        <v>413</v>
      </c>
      <c r="D354" s="1" t="s">
        <v>430</v>
      </c>
      <c r="E354" s="10">
        <f>IFERROR(VLOOKUP(C354, [1]actualizado!A:B, 2, FALSE), E354)</f>
        <v>2370</v>
      </c>
      <c r="F354" s="11">
        <v>24</v>
      </c>
      <c r="G354" s="12">
        <f t="shared" si="19"/>
        <v>98.75</v>
      </c>
      <c r="H354" s="7"/>
      <c r="I354" s="7"/>
      <c r="J354" s="7"/>
      <c r="K354" s="13" t="e">
        <f ca="1">_xludf.IFS(H354="SI",J354/F354,H354="NO",1)</f>
        <v>#NAME?</v>
      </c>
    </row>
    <row r="355" spans="1:11">
      <c r="A355" s="2" t="s">
        <v>353</v>
      </c>
      <c r="B355" s="8"/>
      <c r="C355" s="1" t="s">
        <v>413</v>
      </c>
      <c r="D355" s="1" t="s">
        <v>430</v>
      </c>
      <c r="E355" s="10">
        <f>IFERROR(VLOOKUP(C355, [1]actualizado!A:B, 2, FALSE), E355)</f>
        <v>2370</v>
      </c>
      <c r="F355" s="11">
        <v>1</v>
      </c>
      <c r="G355" s="12">
        <f t="shared" si="19"/>
        <v>2370</v>
      </c>
      <c r="H355" s="7"/>
      <c r="I355" s="7"/>
      <c r="J355" s="7"/>
      <c r="K355" s="13"/>
    </row>
    <row r="356" spans="1:11">
      <c r="A356" s="2" t="s">
        <v>354</v>
      </c>
      <c r="B356" s="8"/>
      <c r="C356" s="1" t="s">
        <v>413</v>
      </c>
      <c r="D356" s="1" t="s">
        <v>430</v>
      </c>
      <c r="E356" s="10">
        <f>IFERROR(VLOOKUP(C356, [1]actualizado!A:B, 2, FALSE), E356)</f>
        <v>2370</v>
      </c>
      <c r="F356" s="11">
        <v>1</v>
      </c>
      <c r="G356" s="12">
        <f t="shared" si="19"/>
        <v>2370</v>
      </c>
      <c r="H356" s="7"/>
      <c r="I356" s="7"/>
      <c r="J356" s="7"/>
      <c r="K356" s="13"/>
    </row>
    <row r="357" spans="1:11">
      <c r="A357" s="1" t="s">
        <v>355</v>
      </c>
      <c r="B357" s="8"/>
      <c r="C357" s="1" t="s">
        <v>413</v>
      </c>
      <c r="D357" s="1" t="s">
        <v>430</v>
      </c>
      <c r="E357" s="10">
        <f>IFERROR(VLOOKUP(C357, [1]actualizado!A:B, 2, FALSE), E357)</f>
        <v>2370</v>
      </c>
      <c r="F357" s="11">
        <v>1</v>
      </c>
      <c r="G357" s="12">
        <f t="shared" si="19"/>
        <v>2370</v>
      </c>
      <c r="H357" s="7"/>
      <c r="I357" s="7"/>
      <c r="J357" s="7"/>
      <c r="K357" s="13" t="e">
        <f t="shared" ref="K357:K364" ca="1" si="32">_xludf.IFS(H357="SI",J357/F357,H357="NO",1)</f>
        <v>#NAME?</v>
      </c>
    </row>
    <row r="358" spans="1:11">
      <c r="A358" s="1" t="s">
        <v>356</v>
      </c>
      <c r="B358" s="8"/>
      <c r="C358" s="1" t="s">
        <v>413</v>
      </c>
      <c r="D358" s="1" t="s">
        <v>430</v>
      </c>
      <c r="E358" s="10">
        <f>IFERROR(VLOOKUP(C358, [1]actualizado!A:B, 2, FALSE), E358)</f>
        <v>2370</v>
      </c>
      <c r="F358" s="11">
        <v>1</v>
      </c>
      <c r="G358" s="12">
        <f t="shared" si="19"/>
        <v>2370</v>
      </c>
      <c r="H358" s="7"/>
      <c r="I358" s="7"/>
      <c r="J358" s="7"/>
      <c r="K358" s="13" t="e">
        <f t="shared" ca="1" si="32"/>
        <v>#NAME?</v>
      </c>
    </row>
    <row r="359" spans="1:11">
      <c r="A359" s="1" t="s">
        <v>357</v>
      </c>
      <c r="B359" s="8"/>
      <c r="C359" s="1" t="s">
        <v>413</v>
      </c>
      <c r="D359" s="1" t="s">
        <v>430</v>
      </c>
      <c r="E359" s="10">
        <f>IFERROR(VLOOKUP(C359, [1]actualizado!A:B, 2, FALSE), E359)</f>
        <v>2370</v>
      </c>
      <c r="F359" s="11">
        <v>1</v>
      </c>
      <c r="G359" s="12">
        <f t="shared" si="19"/>
        <v>2370</v>
      </c>
      <c r="H359" s="7" t="s">
        <v>415</v>
      </c>
      <c r="I359" s="7" t="s">
        <v>417</v>
      </c>
      <c r="J359" s="7"/>
      <c r="K359" s="13" t="e">
        <f t="shared" ca="1" si="32"/>
        <v>#NAME?</v>
      </c>
    </row>
    <row r="360" spans="1:11">
      <c r="A360" s="1" t="s">
        <v>358</v>
      </c>
      <c r="B360" s="8"/>
      <c r="C360" s="1" t="s">
        <v>413</v>
      </c>
      <c r="D360" s="1" t="s">
        <v>430</v>
      </c>
      <c r="E360" s="10">
        <f>IFERROR(VLOOKUP(C360, [1]actualizado!A:B, 2, FALSE), E360)</f>
        <v>2370</v>
      </c>
      <c r="F360" s="11">
        <v>1</v>
      </c>
      <c r="G360" s="12">
        <f t="shared" si="19"/>
        <v>2370</v>
      </c>
      <c r="H360" s="7" t="s">
        <v>418</v>
      </c>
      <c r="I360" s="7" t="s">
        <v>417</v>
      </c>
      <c r="J360" s="7"/>
      <c r="K360" s="13" t="e">
        <f t="shared" ca="1" si="32"/>
        <v>#NAME?</v>
      </c>
    </row>
    <row r="361" spans="1:11">
      <c r="A361" s="1" t="s">
        <v>359</v>
      </c>
      <c r="B361" s="8"/>
      <c r="C361" s="1" t="s">
        <v>413</v>
      </c>
      <c r="D361" s="1" t="s">
        <v>430</v>
      </c>
      <c r="E361" s="10">
        <f>IFERROR(VLOOKUP(C361, [1]actualizado!A:B, 2, FALSE), E361)</f>
        <v>2370</v>
      </c>
      <c r="F361" s="11">
        <v>1</v>
      </c>
      <c r="G361" s="12">
        <f t="shared" si="19"/>
        <v>2370</v>
      </c>
      <c r="H361" s="7" t="s">
        <v>418</v>
      </c>
      <c r="I361" s="7" t="s">
        <v>417</v>
      </c>
      <c r="J361" s="7"/>
      <c r="K361" s="13" t="e">
        <f t="shared" ca="1" si="32"/>
        <v>#NAME?</v>
      </c>
    </row>
    <row r="362" spans="1:11">
      <c r="A362" s="7" t="s">
        <v>360</v>
      </c>
      <c r="B362" s="8"/>
      <c r="C362" s="1" t="s">
        <v>413</v>
      </c>
      <c r="D362" s="14" t="s">
        <v>430</v>
      </c>
      <c r="E362" s="10">
        <f>IFERROR(VLOOKUP(C362, [1]actualizado!A:B, 2, FALSE), E362)</f>
        <v>2370</v>
      </c>
      <c r="F362" s="11">
        <v>1</v>
      </c>
      <c r="G362" s="12">
        <f t="shared" si="19"/>
        <v>2370</v>
      </c>
      <c r="H362" s="7"/>
      <c r="I362" s="7"/>
      <c r="J362" s="7"/>
      <c r="K362" s="13" t="e">
        <f t="shared" ca="1" si="32"/>
        <v>#NAME?</v>
      </c>
    </row>
    <row r="363" spans="1:11">
      <c r="A363" s="7" t="s">
        <v>361</v>
      </c>
      <c r="B363" s="8"/>
      <c r="C363" s="1" t="s">
        <v>413</v>
      </c>
      <c r="D363" s="14" t="s">
        <v>430</v>
      </c>
      <c r="E363" s="10">
        <f>IFERROR(VLOOKUP(C363, [1]actualizado!A:B, 2, FALSE), E363)</f>
        <v>2370</v>
      </c>
      <c r="F363" s="11">
        <v>1</v>
      </c>
      <c r="G363" s="12">
        <f t="shared" si="19"/>
        <v>2370</v>
      </c>
      <c r="H363" s="7"/>
      <c r="I363" s="7"/>
      <c r="J363" s="7"/>
      <c r="K363" s="13" t="e">
        <f t="shared" ca="1" si="32"/>
        <v>#NAME?</v>
      </c>
    </row>
    <row r="364" spans="1:11">
      <c r="A364" s="7" t="s">
        <v>362</v>
      </c>
      <c r="B364" s="8"/>
      <c r="C364" s="1" t="s">
        <v>413</v>
      </c>
      <c r="D364" s="14" t="s">
        <v>430</v>
      </c>
      <c r="E364" s="10">
        <f>IFERROR(VLOOKUP(C364, [1]actualizado!A:B, 2, FALSE), E364)</f>
        <v>2370</v>
      </c>
      <c r="F364" s="11">
        <v>1</v>
      </c>
      <c r="G364" s="12">
        <f t="shared" si="19"/>
        <v>2370</v>
      </c>
      <c r="H364" s="7"/>
      <c r="I364" s="7"/>
      <c r="J364" s="7"/>
      <c r="K364" s="13" t="e">
        <f t="shared" ca="1" si="32"/>
        <v>#NAME?</v>
      </c>
    </row>
    <row r="365" spans="1:11">
      <c r="A365" s="1" t="s">
        <v>363</v>
      </c>
      <c r="B365" s="8"/>
      <c r="C365" s="1" t="s">
        <v>413</v>
      </c>
      <c r="D365" s="1" t="s">
        <v>431</v>
      </c>
      <c r="E365" s="10">
        <f>IFERROR(VLOOKUP(C365, [1]actualizado!A:B, 2, FALSE), E365)</f>
        <v>2370</v>
      </c>
      <c r="F365" s="11">
        <v>1</v>
      </c>
      <c r="G365" s="12">
        <f t="shared" si="19"/>
        <v>2370</v>
      </c>
      <c r="H365" s="7"/>
      <c r="I365" s="7"/>
      <c r="J365" s="7"/>
      <c r="K365" s="13"/>
    </row>
    <row r="366" spans="1:11">
      <c r="A366" s="2" t="s">
        <v>364</v>
      </c>
      <c r="B366" s="8"/>
      <c r="C366" s="1" t="s">
        <v>413</v>
      </c>
      <c r="D366" s="1" t="s">
        <v>431</v>
      </c>
      <c r="E366" s="10">
        <f>IFERROR(VLOOKUP(C366, [1]actualizado!A:B, 2, FALSE), E366)</f>
        <v>2370</v>
      </c>
      <c r="F366" s="11">
        <v>1</v>
      </c>
      <c r="G366" s="12">
        <f t="shared" si="19"/>
        <v>2370</v>
      </c>
      <c r="H366" s="7" t="s">
        <v>418</v>
      </c>
      <c r="I366" s="7" t="s">
        <v>417</v>
      </c>
      <c r="J366" s="7"/>
      <c r="K366" s="13" t="e">
        <f t="shared" ref="K366:K367" ca="1" si="33">_xludf.IFS(H366="SI",J366/F366,H366="NO",1)</f>
        <v>#NAME?</v>
      </c>
    </row>
    <row r="367" spans="1:11">
      <c r="A367" s="1" t="s">
        <v>365</v>
      </c>
      <c r="B367" s="8"/>
      <c r="C367" s="1" t="s">
        <v>413</v>
      </c>
      <c r="D367" s="1" t="s">
        <v>431</v>
      </c>
      <c r="E367" s="10">
        <f>IFERROR(VLOOKUP(C367, [1]actualizado!A:B, 2, FALSE), E367)</f>
        <v>2370</v>
      </c>
      <c r="F367" s="11">
        <v>1</v>
      </c>
      <c r="G367" s="12">
        <f t="shared" si="19"/>
        <v>2370</v>
      </c>
      <c r="H367" s="7" t="s">
        <v>418</v>
      </c>
      <c r="I367" s="7" t="s">
        <v>417</v>
      </c>
      <c r="J367" s="7"/>
      <c r="K367" s="13" t="e">
        <f t="shared" ca="1" si="33"/>
        <v>#NAME?</v>
      </c>
    </row>
    <row r="368" spans="1:11">
      <c r="A368" s="2" t="s">
        <v>366</v>
      </c>
      <c r="B368" s="8"/>
      <c r="C368" s="1" t="s">
        <v>413</v>
      </c>
      <c r="D368" s="1" t="s">
        <v>431</v>
      </c>
      <c r="E368" s="10">
        <f>IFERROR(VLOOKUP(C368, [1]actualizado!A:B, 2, FALSE), E368)</f>
        <v>2370</v>
      </c>
      <c r="F368" s="11">
        <v>1</v>
      </c>
      <c r="G368" s="12">
        <f t="shared" si="19"/>
        <v>2370</v>
      </c>
      <c r="H368" s="7"/>
      <c r="I368" s="7"/>
      <c r="J368" s="7"/>
      <c r="K368" s="13"/>
    </row>
    <row r="369" spans="1:11">
      <c r="A369" s="2" t="s">
        <v>367</v>
      </c>
      <c r="B369" s="8"/>
      <c r="C369" s="1" t="s">
        <v>413</v>
      </c>
      <c r="D369" s="1" t="s">
        <v>431</v>
      </c>
      <c r="E369" s="10">
        <f>IFERROR(VLOOKUP(C369, [1]actualizado!A:B, 2, FALSE), E369)</f>
        <v>2370</v>
      </c>
      <c r="F369" s="11">
        <v>1</v>
      </c>
      <c r="G369" s="12">
        <f t="shared" si="19"/>
        <v>2370</v>
      </c>
      <c r="H369" s="7"/>
      <c r="I369" s="7"/>
      <c r="J369" s="7"/>
      <c r="K369" s="13"/>
    </row>
    <row r="370" spans="1:11">
      <c r="A370" s="2" t="s">
        <v>368</v>
      </c>
      <c r="B370" s="8"/>
      <c r="C370" s="1" t="s">
        <v>413</v>
      </c>
      <c r="D370" s="1" t="s">
        <v>431</v>
      </c>
      <c r="E370" s="10">
        <f>IFERROR(VLOOKUP(C370, [1]actualizado!A:B, 2, FALSE), E370)</f>
        <v>2370</v>
      </c>
      <c r="F370" s="11">
        <v>1</v>
      </c>
      <c r="G370" s="12">
        <f t="shared" si="19"/>
        <v>2370</v>
      </c>
      <c r="H370" s="7" t="s">
        <v>418</v>
      </c>
      <c r="I370" s="7" t="s">
        <v>417</v>
      </c>
      <c r="J370" s="7"/>
      <c r="K370" s="13" t="e">
        <f t="shared" ref="K370:K371" ca="1" si="34">_xludf.IFS(H370="SI",J370/F370,H370="NO",1)</f>
        <v>#NAME?</v>
      </c>
    </row>
    <row r="371" spans="1:11">
      <c r="A371" s="2" t="s">
        <v>369</v>
      </c>
      <c r="B371" s="8"/>
      <c r="C371" s="1" t="s">
        <v>413</v>
      </c>
      <c r="D371" s="1" t="s">
        <v>431</v>
      </c>
      <c r="E371" s="10">
        <f>IFERROR(VLOOKUP(C371, [1]actualizado!A:B, 2, FALSE), E371)</f>
        <v>2370</v>
      </c>
      <c r="F371" s="11">
        <v>1</v>
      </c>
      <c r="G371" s="12">
        <f t="shared" si="19"/>
        <v>2370</v>
      </c>
      <c r="H371" s="7" t="s">
        <v>418</v>
      </c>
      <c r="I371" s="7" t="s">
        <v>417</v>
      </c>
      <c r="J371" s="7"/>
      <c r="K371" s="13" t="e">
        <f t="shared" ca="1" si="34"/>
        <v>#NAME?</v>
      </c>
    </row>
    <row r="372" spans="1:11">
      <c r="A372" s="2" t="s">
        <v>370</v>
      </c>
      <c r="B372" s="8"/>
      <c r="C372" s="1" t="s">
        <v>413</v>
      </c>
      <c r="D372" s="1" t="s">
        <v>431</v>
      </c>
      <c r="E372" s="10">
        <f>IFERROR(VLOOKUP(C372, [1]actualizado!A:B, 2, FALSE), E372)</f>
        <v>2370</v>
      </c>
      <c r="F372" s="11">
        <v>1</v>
      </c>
      <c r="G372" s="12">
        <f t="shared" si="19"/>
        <v>2370</v>
      </c>
      <c r="H372" s="7"/>
      <c r="I372" s="7"/>
      <c r="J372" s="7"/>
      <c r="K372" s="13"/>
    </row>
    <row r="373" spans="1:11">
      <c r="A373" s="2" t="s">
        <v>371</v>
      </c>
      <c r="B373" s="8"/>
      <c r="C373" s="1" t="s">
        <v>413</v>
      </c>
      <c r="D373" s="1" t="s">
        <v>431</v>
      </c>
      <c r="E373" s="10">
        <f>IFERROR(VLOOKUP(C373, [1]actualizado!A:B, 2, FALSE), E373)</f>
        <v>2370</v>
      </c>
      <c r="F373" s="11">
        <v>1</v>
      </c>
      <c r="G373" s="12">
        <f t="shared" si="19"/>
        <v>2370</v>
      </c>
      <c r="H373" s="7"/>
      <c r="I373" s="7"/>
      <c r="J373" s="7"/>
      <c r="K373" s="13"/>
    </row>
    <row r="374" spans="1:11">
      <c r="A374" s="2" t="s">
        <v>372</v>
      </c>
      <c r="B374" s="8"/>
      <c r="C374" s="1" t="s">
        <v>413</v>
      </c>
      <c r="D374" s="1" t="s">
        <v>431</v>
      </c>
      <c r="E374" s="10">
        <f>IFERROR(VLOOKUP(C374, [1]actualizado!A:B, 2, FALSE), E374)</f>
        <v>2370</v>
      </c>
      <c r="F374" s="11">
        <v>1</v>
      </c>
      <c r="G374" s="12">
        <f t="shared" si="19"/>
        <v>2370</v>
      </c>
      <c r="H374" s="7"/>
      <c r="I374" s="7"/>
      <c r="J374" s="7"/>
      <c r="K374" s="13"/>
    </row>
    <row r="375" spans="1:11">
      <c r="A375" s="2" t="s">
        <v>373</v>
      </c>
      <c r="B375" s="8"/>
      <c r="C375" s="1" t="s">
        <v>413</v>
      </c>
      <c r="D375" s="1" t="s">
        <v>431</v>
      </c>
      <c r="E375" s="10">
        <f>IFERROR(VLOOKUP(C375, [1]actualizado!A:B, 2, FALSE), E375)</f>
        <v>2370</v>
      </c>
      <c r="F375" s="11">
        <v>1</v>
      </c>
      <c r="G375" s="12">
        <f t="shared" si="19"/>
        <v>2370</v>
      </c>
      <c r="H375" s="7"/>
      <c r="I375" s="7"/>
      <c r="J375" s="7"/>
      <c r="K375" s="13" t="e">
        <f t="shared" ref="K375:K376" ca="1" si="35">_xludf.IFS(H375="SI",J375/F375,H375="NO",1)</f>
        <v>#NAME?</v>
      </c>
    </row>
    <row r="376" spans="1:11">
      <c r="A376" s="2" t="s">
        <v>374</v>
      </c>
      <c r="B376" s="8"/>
      <c r="C376" s="1" t="s">
        <v>413</v>
      </c>
      <c r="D376" s="1" t="s">
        <v>431</v>
      </c>
      <c r="E376" s="10">
        <f>IFERROR(VLOOKUP(C376, [1]actualizado!A:B, 2, FALSE), E376)</f>
        <v>2370</v>
      </c>
      <c r="F376" s="11">
        <v>1</v>
      </c>
      <c r="G376" s="12">
        <f t="shared" si="19"/>
        <v>2370</v>
      </c>
      <c r="H376" s="7"/>
      <c r="I376" s="7"/>
      <c r="J376" s="7"/>
      <c r="K376" s="13" t="e">
        <f t="shared" ca="1" si="35"/>
        <v>#NAME?</v>
      </c>
    </row>
    <row r="377" spans="1:11">
      <c r="A377" s="4" t="s">
        <v>375</v>
      </c>
      <c r="B377" s="8"/>
      <c r="C377" s="1" t="s">
        <v>413</v>
      </c>
      <c r="D377" s="1" t="s">
        <v>431</v>
      </c>
      <c r="E377" s="10">
        <f>IFERROR(VLOOKUP(C377, [1]actualizado!A:B, 2, FALSE), E377)</f>
        <v>2370</v>
      </c>
      <c r="F377" s="11">
        <v>6</v>
      </c>
      <c r="G377" s="12">
        <f t="shared" si="19"/>
        <v>395</v>
      </c>
      <c r="H377" s="7"/>
      <c r="I377" s="7"/>
      <c r="J377" s="7"/>
      <c r="K377" s="13"/>
    </row>
    <row r="378" spans="1:11">
      <c r="A378" s="4" t="s">
        <v>376</v>
      </c>
      <c r="B378" s="8"/>
      <c r="C378" s="1" t="s">
        <v>413</v>
      </c>
      <c r="D378" s="1" t="s">
        <v>431</v>
      </c>
      <c r="E378" s="10">
        <f>IFERROR(VLOOKUP(C378, [1]actualizado!A:B, 2, FALSE), E378)</f>
        <v>2370</v>
      </c>
      <c r="F378" s="11">
        <v>6</v>
      </c>
      <c r="G378" s="12">
        <f t="shared" si="19"/>
        <v>395</v>
      </c>
      <c r="H378" s="7"/>
      <c r="I378" s="7"/>
      <c r="J378" s="7"/>
      <c r="K378" s="13"/>
    </row>
    <row r="379" spans="1:11">
      <c r="A379" s="4" t="s">
        <v>377</v>
      </c>
      <c r="B379" s="8"/>
      <c r="C379" s="1" t="s">
        <v>413</v>
      </c>
      <c r="D379" s="1" t="s">
        <v>431</v>
      </c>
      <c r="E379" s="10">
        <f>IFERROR(VLOOKUP(C379, [1]actualizado!A:B, 2, FALSE), E379)</f>
        <v>2370</v>
      </c>
      <c r="F379" s="11">
        <v>1</v>
      </c>
      <c r="G379" s="12">
        <f t="shared" si="19"/>
        <v>2370</v>
      </c>
      <c r="H379" s="7"/>
      <c r="I379" s="7"/>
      <c r="J379" s="7"/>
      <c r="K379" s="13" t="e">
        <f t="shared" ref="K379:K380" ca="1" si="36">_xludf.IFS(H379="SI",J379/F379,H379="NO",1)</f>
        <v>#NAME?</v>
      </c>
    </row>
    <row r="380" spans="1:11">
      <c r="A380" s="4" t="s">
        <v>378</v>
      </c>
      <c r="B380" s="8"/>
      <c r="C380" s="1" t="s">
        <v>413</v>
      </c>
      <c r="D380" s="1" t="s">
        <v>431</v>
      </c>
      <c r="E380" s="10">
        <f>IFERROR(VLOOKUP(C380, [1]actualizado!A:B, 2, FALSE), E380)</f>
        <v>2370</v>
      </c>
      <c r="F380" s="11">
        <v>1</v>
      </c>
      <c r="G380" s="12">
        <f t="shared" si="19"/>
        <v>2370</v>
      </c>
      <c r="H380" s="7"/>
      <c r="I380" s="7"/>
      <c r="J380" s="7"/>
      <c r="K380" s="13" t="e">
        <f t="shared" ca="1" si="36"/>
        <v>#NAME?</v>
      </c>
    </row>
    <row r="381" spans="1:11">
      <c r="A381" s="1" t="s">
        <v>379</v>
      </c>
      <c r="B381" s="8"/>
      <c r="C381" s="1" t="s">
        <v>413</v>
      </c>
      <c r="D381" s="1" t="s">
        <v>431</v>
      </c>
      <c r="E381" s="10">
        <f>IFERROR(VLOOKUP(C381, [1]actualizado!A:B, 2, FALSE), E381)</f>
        <v>2370</v>
      </c>
      <c r="F381" s="11">
        <v>1</v>
      </c>
      <c r="G381" s="12">
        <f t="shared" si="19"/>
        <v>2370</v>
      </c>
      <c r="H381" s="7"/>
      <c r="I381" s="7"/>
      <c r="J381" s="7"/>
      <c r="K381" s="13"/>
    </row>
    <row r="382" spans="1:11">
      <c r="A382" s="1" t="s">
        <v>380</v>
      </c>
      <c r="B382" s="8"/>
      <c r="C382" s="1" t="s">
        <v>413</v>
      </c>
      <c r="D382" s="1" t="s">
        <v>431</v>
      </c>
      <c r="E382" s="10">
        <f>IFERROR(VLOOKUP(C382, [1]actualizado!A:B, 2, FALSE), E382)</f>
        <v>2370</v>
      </c>
      <c r="F382" s="11">
        <v>1</v>
      </c>
      <c r="G382" s="12">
        <f t="shared" si="19"/>
        <v>2370</v>
      </c>
      <c r="H382" s="7"/>
      <c r="I382" s="7"/>
      <c r="J382" s="7"/>
      <c r="K382" s="13"/>
    </row>
    <row r="383" spans="1:11">
      <c r="A383" s="1" t="s">
        <v>381</v>
      </c>
      <c r="B383" s="8"/>
      <c r="C383" s="1" t="s">
        <v>413</v>
      </c>
      <c r="D383" s="1" t="s">
        <v>431</v>
      </c>
      <c r="E383" s="10">
        <f>IFERROR(VLOOKUP(C383, [1]actualizado!A:B, 2, FALSE), E383)</f>
        <v>2370</v>
      </c>
      <c r="F383" s="11">
        <v>1</v>
      </c>
      <c r="G383" s="12">
        <f t="shared" si="19"/>
        <v>2370</v>
      </c>
      <c r="H383" s="7"/>
      <c r="I383" s="7"/>
      <c r="J383" s="7"/>
      <c r="K383" s="13" t="e">
        <f t="shared" ref="K383:K386" ca="1" si="37">_xludf.IFS(H383="SI",J383/F383,H383="NO",1)</f>
        <v>#NAME?</v>
      </c>
    </row>
    <row r="384" spans="1:11">
      <c r="A384" s="1" t="s">
        <v>382</v>
      </c>
      <c r="B384" s="8"/>
      <c r="C384" s="1" t="s">
        <v>413</v>
      </c>
      <c r="D384" s="1" t="s">
        <v>431</v>
      </c>
      <c r="E384" s="10">
        <f>IFERROR(VLOOKUP(C384, [1]actualizado!A:B, 2, FALSE), E384)</f>
        <v>2370</v>
      </c>
      <c r="F384" s="11">
        <v>12</v>
      </c>
      <c r="G384" s="12">
        <f t="shared" si="19"/>
        <v>197.5</v>
      </c>
      <c r="H384" s="7"/>
      <c r="I384" s="7"/>
      <c r="J384" s="7"/>
      <c r="K384" s="13" t="e">
        <f t="shared" ca="1" si="37"/>
        <v>#NAME?</v>
      </c>
    </row>
    <row r="385" spans="1:11">
      <c r="A385" s="1" t="s">
        <v>383</v>
      </c>
      <c r="B385" s="8"/>
      <c r="C385" s="1" t="s">
        <v>413</v>
      </c>
      <c r="D385" s="1" t="s">
        <v>431</v>
      </c>
      <c r="E385" s="10">
        <f>IFERROR(VLOOKUP(C385, [1]actualizado!A:B, 2, FALSE), E385)</f>
        <v>2370</v>
      </c>
      <c r="F385" s="11">
        <v>12</v>
      </c>
      <c r="G385" s="12">
        <f t="shared" si="19"/>
        <v>197.5</v>
      </c>
      <c r="H385" s="7"/>
      <c r="I385" s="7"/>
      <c r="J385" s="7"/>
      <c r="K385" s="13" t="e">
        <f t="shared" ca="1" si="37"/>
        <v>#NAME?</v>
      </c>
    </row>
    <row r="386" spans="1:11">
      <c r="A386" s="1" t="s">
        <v>384</v>
      </c>
      <c r="B386" s="8"/>
      <c r="C386" s="1" t="s">
        <v>413</v>
      </c>
      <c r="D386" s="1" t="s">
        <v>431</v>
      </c>
      <c r="E386" s="10">
        <f>IFERROR(VLOOKUP(C386, [1]actualizado!A:B, 2, FALSE), E386)</f>
        <v>2370</v>
      </c>
      <c r="F386" s="11">
        <v>12</v>
      </c>
      <c r="G386" s="12">
        <f t="shared" si="19"/>
        <v>197.5</v>
      </c>
      <c r="H386" s="7"/>
      <c r="I386" s="7"/>
      <c r="J386" s="7"/>
      <c r="K386" s="13" t="e">
        <f t="shared" ca="1" si="37"/>
        <v>#NAME?</v>
      </c>
    </row>
    <row r="387" spans="1:11">
      <c r="A387" s="1" t="s">
        <v>385</v>
      </c>
      <c r="B387" s="8"/>
      <c r="C387" s="1" t="s">
        <v>413</v>
      </c>
      <c r="D387" s="1" t="s">
        <v>431</v>
      </c>
      <c r="E387" s="10">
        <f>IFERROR(VLOOKUP(C387, [1]actualizado!A:B, 2, FALSE), E387)</f>
        <v>2370</v>
      </c>
      <c r="F387" s="11">
        <v>10</v>
      </c>
      <c r="G387" s="12">
        <f t="shared" si="19"/>
        <v>237</v>
      </c>
      <c r="H387" s="7"/>
      <c r="I387" s="7"/>
      <c r="J387" s="7"/>
      <c r="K387" s="13"/>
    </row>
    <row r="388" spans="1:11">
      <c r="A388" s="1" t="s">
        <v>386</v>
      </c>
      <c r="B388" s="8"/>
      <c r="C388" s="1" t="s">
        <v>413</v>
      </c>
      <c r="D388" s="1" t="s">
        <v>431</v>
      </c>
      <c r="E388" s="10">
        <f>IFERROR(VLOOKUP(C388, [1]actualizado!A:B, 2, FALSE), E388)</f>
        <v>2370</v>
      </c>
      <c r="F388" s="11">
        <v>10</v>
      </c>
      <c r="G388" s="12">
        <f t="shared" si="19"/>
        <v>237</v>
      </c>
      <c r="H388" s="7"/>
      <c r="I388" s="7"/>
      <c r="J388" s="7"/>
      <c r="K388" s="13"/>
    </row>
    <row r="389" spans="1:11">
      <c r="A389" s="1" t="s">
        <v>387</v>
      </c>
      <c r="B389" s="8"/>
      <c r="C389" s="1" t="s">
        <v>413</v>
      </c>
      <c r="D389" s="1" t="s">
        <v>432</v>
      </c>
      <c r="E389" s="10">
        <f>IFERROR(VLOOKUP(C389, [1]actualizado!A:B, 2, FALSE), E389)</f>
        <v>2370</v>
      </c>
      <c r="F389" s="11">
        <v>25</v>
      </c>
      <c r="G389" s="12">
        <f t="shared" si="19"/>
        <v>94.8</v>
      </c>
      <c r="H389" s="7"/>
      <c r="I389" s="7"/>
      <c r="J389" s="7"/>
      <c r="K389" s="13" t="e">
        <f t="shared" ref="K389:K390" ca="1" si="38">_xludf.IFS(H389="SI",J389/F389,H389="NO",1)</f>
        <v>#NAME?</v>
      </c>
    </row>
    <row r="390" spans="1:11">
      <c r="A390" s="1" t="s">
        <v>388</v>
      </c>
      <c r="B390" s="8"/>
      <c r="C390" s="1" t="s">
        <v>413</v>
      </c>
      <c r="D390" s="1" t="s">
        <v>432</v>
      </c>
      <c r="E390" s="10">
        <f>IFERROR(VLOOKUP(C390, [1]actualizado!A:B, 2, FALSE), E390)</f>
        <v>2370</v>
      </c>
      <c r="F390" s="11">
        <v>25</v>
      </c>
      <c r="G390" s="12">
        <f t="shared" si="19"/>
        <v>94.8</v>
      </c>
      <c r="H390" s="7"/>
      <c r="I390" s="7"/>
      <c r="J390" s="7"/>
      <c r="K390" s="13" t="e">
        <f t="shared" ca="1" si="38"/>
        <v>#NAME?</v>
      </c>
    </row>
    <row r="391" spans="1:11">
      <c r="A391" s="1" t="s">
        <v>389</v>
      </c>
      <c r="B391" s="8"/>
      <c r="C391" s="1" t="s">
        <v>413</v>
      </c>
      <c r="D391" s="1" t="s">
        <v>432</v>
      </c>
      <c r="E391" s="10">
        <f>IFERROR(VLOOKUP(C391, [1]actualizado!A:B, 2, FALSE), E391)</f>
        <v>2370</v>
      </c>
      <c r="F391" s="11">
        <v>10</v>
      </c>
      <c r="G391" s="12">
        <f t="shared" si="19"/>
        <v>237</v>
      </c>
      <c r="H391" s="7"/>
      <c r="I391" s="7"/>
      <c r="J391" s="7"/>
      <c r="K391" s="13"/>
    </row>
    <row r="392" spans="1:11">
      <c r="A392" s="1" t="s">
        <v>390</v>
      </c>
      <c r="B392" s="8"/>
      <c r="C392" s="1" t="s">
        <v>413</v>
      </c>
      <c r="D392" s="1" t="s">
        <v>432</v>
      </c>
      <c r="E392" s="10">
        <f>IFERROR(VLOOKUP(C392, [1]actualizado!A:B, 2, FALSE), E392)</f>
        <v>2370</v>
      </c>
      <c r="F392" s="11">
        <v>10</v>
      </c>
      <c r="G392" s="12">
        <f t="shared" si="19"/>
        <v>237</v>
      </c>
      <c r="H392" s="7"/>
      <c r="I392" s="7"/>
      <c r="J392" s="7"/>
      <c r="K392" s="13"/>
    </row>
    <row r="393" spans="1:11">
      <c r="A393" s="1" t="s">
        <v>391</v>
      </c>
      <c r="B393" s="8"/>
      <c r="C393" s="1" t="s">
        <v>413</v>
      </c>
      <c r="D393" s="1" t="s">
        <v>432</v>
      </c>
      <c r="E393" s="10">
        <f>IFERROR(VLOOKUP(C393, [1]actualizado!A:B, 2, FALSE), E393)</f>
        <v>2370</v>
      </c>
      <c r="F393" s="11">
        <v>1</v>
      </c>
      <c r="G393" s="12">
        <f t="shared" si="19"/>
        <v>2370</v>
      </c>
      <c r="H393" s="7"/>
      <c r="I393" s="7"/>
      <c r="J393" s="7"/>
      <c r="K393" s="13"/>
    </row>
    <row r="394" spans="1:11">
      <c r="A394" s="1" t="s">
        <v>392</v>
      </c>
      <c r="B394" s="8"/>
      <c r="C394" s="1" t="s">
        <v>413</v>
      </c>
      <c r="D394" s="1" t="s">
        <v>432</v>
      </c>
      <c r="E394" s="10">
        <f>IFERROR(VLOOKUP(C394, [1]actualizado!A:B, 2, FALSE), E394)</f>
        <v>2370</v>
      </c>
      <c r="F394" s="11">
        <v>1</v>
      </c>
      <c r="G394" s="12">
        <f t="shared" si="19"/>
        <v>2370</v>
      </c>
      <c r="H394" s="7"/>
      <c r="I394" s="7"/>
      <c r="J394" s="7"/>
      <c r="K394" s="13"/>
    </row>
    <row r="395" spans="1:11">
      <c r="A395" s="1" t="s">
        <v>393</v>
      </c>
      <c r="B395" s="8"/>
      <c r="C395" s="1" t="s">
        <v>413</v>
      </c>
      <c r="D395" s="1" t="s">
        <v>432</v>
      </c>
      <c r="E395" s="10">
        <f>IFERROR(VLOOKUP(C395, [1]actualizado!A:B, 2, FALSE), E395)</f>
        <v>2370</v>
      </c>
      <c r="F395" s="11">
        <v>12</v>
      </c>
      <c r="G395" s="12">
        <f t="shared" si="19"/>
        <v>197.5</v>
      </c>
      <c r="H395" s="7"/>
      <c r="I395" s="7"/>
      <c r="J395" s="7"/>
      <c r="K395" s="13"/>
    </row>
    <row r="396" spans="1:11">
      <c r="A396" s="2" t="s">
        <v>394</v>
      </c>
      <c r="B396" s="8"/>
      <c r="C396" s="1" t="s">
        <v>413</v>
      </c>
      <c r="D396" s="1" t="s">
        <v>433</v>
      </c>
      <c r="E396" s="10">
        <f>IFERROR(VLOOKUP(C396, [1]actualizado!A:B, 2, FALSE), E396)</f>
        <v>2370</v>
      </c>
      <c r="F396" s="11">
        <v>1</v>
      </c>
      <c r="G396" s="12">
        <f t="shared" si="19"/>
        <v>2370</v>
      </c>
      <c r="H396" s="7"/>
      <c r="I396" s="7"/>
      <c r="J396" s="7"/>
      <c r="K396" s="13" t="e">
        <f t="shared" ref="K396:K404" ca="1" si="39">_xludf.IFS(H396="SI",J396/F396,H396="NO",1)</f>
        <v>#NAME?</v>
      </c>
    </row>
    <row r="397" spans="1:11">
      <c r="A397" s="2" t="s">
        <v>395</v>
      </c>
      <c r="B397" s="8"/>
      <c r="C397" s="1" t="s">
        <v>413</v>
      </c>
      <c r="D397" s="1" t="s">
        <v>433</v>
      </c>
      <c r="E397" s="10">
        <f>IFERROR(VLOOKUP(C397, [1]actualizado!A:B, 2, FALSE), E397)</f>
        <v>2370</v>
      </c>
      <c r="F397" s="11">
        <v>1</v>
      </c>
      <c r="G397" s="12">
        <f t="shared" si="19"/>
        <v>2370</v>
      </c>
      <c r="H397" s="7"/>
      <c r="I397" s="7"/>
      <c r="J397" s="7"/>
      <c r="K397" s="13" t="e">
        <f t="shared" ca="1" si="39"/>
        <v>#NAME?</v>
      </c>
    </row>
    <row r="398" spans="1:11">
      <c r="A398" s="2" t="s">
        <v>396</v>
      </c>
      <c r="B398" s="8"/>
      <c r="C398" s="1" t="s">
        <v>413</v>
      </c>
      <c r="D398" s="1" t="s">
        <v>433</v>
      </c>
      <c r="E398" s="10">
        <f>IFERROR(VLOOKUP(C398, [1]actualizado!A:B, 2, FALSE), E398)</f>
        <v>2370</v>
      </c>
      <c r="F398" s="11">
        <v>1</v>
      </c>
      <c r="G398" s="12">
        <f t="shared" si="19"/>
        <v>2370</v>
      </c>
      <c r="H398" s="7"/>
      <c r="I398" s="7"/>
      <c r="J398" s="7"/>
      <c r="K398" s="13" t="e">
        <f t="shared" ca="1" si="39"/>
        <v>#NAME?</v>
      </c>
    </row>
    <row r="399" spans="1:11">
      <c r="A399" s="2" t="s">
        <v>397</v>
      </c>
      <c r="B399" s="8"/>
      <c r="C399" s="1" t="s">
        <v>413</v>
      </c>
      <c r="D399" s="1" t="s">
        <v>433</v>
      </c>
      <c r="E399" s="10">
        <f>IFERROR(VLOOKUP(C399, [1]actualizado!A:B, 2, FALSE), E399)</f>
        <v>2370</v>
      </c>
      <c r="F399" s="11">
        <v>1</v>
      </c>
      <c r="G399" s="12">
        <f t="shared" si="19"/>
        <v>2370</v>
      </c>
      <c r="H399" s="7"/>
      <c r="I399" s="7"/>
      <c r="J399" s="7"/>
      <c r="K399" s="13" t="e">
        <f t="shared" ca="1" si="39"/>
        <v>#NAME?</v>
      </c>
    </row>
    <row r="400" spans="1:11">
      <c r="A400" s="2" t="s">
        <v>398</v>
      </c>
      <c r="B400" s="8"/>
      <c r="C400" s="1" t="s">
        <v>413</v>
      </c>
      <c r="D400" s="1" t="s">
        <v>433</v>
      </c>
      <c r="E400" s="10">
        <f>IFERROR(VLOOKUP(C400, [1]actualizado!A:B, 2, FALSE), E400)</f>
        <v>2370</v>
      </c>
      <c r="F400" s="11">
        <v>1</v>
      </c>
      <c r="G400" s="12">
        <f t="shared" si="19"/>
        <v>2370</v>
      </c>
      <c r="H400" s="7"/>
      <c r="I400" s="7"/>
      <c r="J400" s="7"/>
      <c r="K400" s="13" t="e">
        <f t="shared" ca="1" si="39"/>
        <v>#NAME?</v>
      </c>
    </row>
    <row r="401" spans="1:11">
      <c r="A401" s="2" t="s">
        <v>399</v>
      </c>
      <c r="B401" s="8"/>
      <c r="C401" s="1" t="s">
        <v>413</v>
      </c>
      <c r="D401" s="1" t="s">
        <v>433</v>
      </c>
      <c r="E401" s="10">
        <f>IFERROR(VLOOKUP(C401, [1]actualizado!A:B, 2, FALSE), E401)</f>
        <v>2370</v>
      </c>
      <c r="F401" s="11">
        <v>1</v>
      </c>
      <c r="G401" s="12">
        <f t="shared" si="19"/>
        <v>2370</v>
      </c>
      <c r="H401" s="7"/>
      <c r="I401" s="7"/>
      <c r="J401" s="7"/>
      <c r="K401" s="13" t="e">
        <f t="shared" ca="1" si="39"/>
        <v>#NAME?</v>
      </c>
    </row>
    <row r="402" spans="1:11">
      <c r="A402" s="2" t="s">
        <v>400</v>
      </c>
      <c r="B402" s="8"/>
      <c r="C402" s="1" t="s">
        <v>413</v>
      </c>
      <c r="D402" s="1" t="s">
        <v>433</v>
      </c>
      <c r="E402" s="10">
        <f>IFERROR(VLOOKUP(C402, [1]actualizado!A:B, 2, FALSE), E402)</f>
        <v>2370</v>
      </c>
      <c r="F402" s="11">
        <v>1</v>
      </c>
      <c r="G402" s="12">
        <f t="shared" si="19"/>
        <v>2370</v>
      </c>
      <c r="H402" s="7"/>
      <c r="I402" s="7"/>
      <c r="J402" s="7"/>
      <c r="K402" s="13" t="e">
        <f t="shared" ca="1" si="39"/>
        <v>#NAME?</v>
      </c>
    </row>
    <row r="403" spans="1:11">
      <c r="A403" s="7" t="s">
        <v>401</v>
      </c>
      <c r="B403" s="8"/>
      <c r="C403" s="1" t="s">
        <v>413</v>
      </c>
      <c r="D403" s="1" t="s">
        <v>434</v>
      </c>
      <c r="E403" s="10">
        <f>IFERROR(VLOOKUP(C403, [1]actualizado!A:B, 2, FALSE), E403)</f>
        <v>2370</v>
      </c>
      <c r="F403" s="11">
        <v>6</v>
      </c>
      <c r="G403" s="12">
        <f t="shared" si="19"/>
        <v>395</v>
      </c>
      <c r="H403" s="7"/>
      <c r="I403" s="7"/>
      <c r="J403" s="7"/>
      <c r="K403" s="13" t="e">
        <f t="shared" ca="1" si="39"/>
        <v>#NAME?</v>
      </c>
    </row>
    <row r="404" spans="1:11">
      <c r="A404" s="7" t="s">
        <v>402</v>
      </c>
      <c r="B404" s="8"/>
      <c r="C404" s="1" t="s">
        <v>413</v>
      </c>
      <c r="D404" s="1" t="s">
        <v>434</v>
      </c>
      <c r="E404" s="10">
        <f>IFERROR(VLOOKUP(C404, [1]actualizado!A:B, 2, FALSE), E404)</f>
        <v>2370</v>
      </c>
      <c r="F404" s="11">
        <v>6</v>
      </c>
      <c r="G404" s="12">
        <f t="shared" si="19"/>
        <v>395</v>
      </c>
      <c r="H404" s="7"/>
      <c r="I404" s="7"/>
      <c r="J404" s="7"/>
      <c r="K404" s="13" t="e">
        <f t="shared" ca="1" si="39"/>
        <v>#NAME?</v>
      </c>
    </row>
    <row r="405" spans="1:11">
      <c r="A405" s="7" t="s">
        <v>403</v>
      </c>
      <c r="B405" s="8"/>
      <c r="C405" s="1" t="s">
        <v>413</v>
      </c>
      <c r="D405" s="1" t="s">
        <v>434</v>
      </c>
      <c r="E405" s="10">
        <f>IFERROR(VLOOKUP(C405, [1]actualizado!A:B, 2, FALSE), E405)</f>
        <v>2370</v>
      </c>
      <c r="F405" s="11">
        <v>8</v>
      </c>
      <c r="G405" s="12">
        <f t="shared" si="19"/>
        <v>296.25</v>
      </c>
      <c r="H405" s="7"/>
      <c r="I405" s="7"/>
      <c r="J405" s="7"/>
      <c r="K405" s="13"/>
    </row>
  </sheetData>
  <phoneticPr fontId="8" type="noConversion"/>
  <conditionalFormatting sqref="K2:K405">
    <cfRule type="expression" dxfId="0" priority="1">
      <formula>"F2:F1000==SI"</formula>
    </cfRule>
  </conditionalFormatting>
  <dataValidations count="2">
    <dataValidation type="list" allowBlank="1" showErrorMessage="1" sqref="H2:H405" xr:uid="{B6D5BEFC-21AE-4A7A-8874-7755145EBFBB}">
      <formula1>"SI,NO"</formula1>
    </dataValidation>
    <dataValidation type="list" allowBlank="1" showErrorMessage="1" sqref="I2:I405" xr:uid="{AD52C123-5A2C-43FC-AE1C-7EDD886C9625}">
      <formula1>"Gramos,Litros,Unitario"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Valentín Miranda</dc:creator>
  <cp:lastModifiedBy>Leandro Valentín Miranda</cp:lastModifiedBy>
  <dcterms:created xsi:type="dcterms:W3CDTF">2026-05-07T13:36:00Z</dcterms:created>
  <dcterms:modified xsi:type="dcterms:W3CDTF">2026-05-07T16:46:48Z</dcterms:modified>
</cp:coreProperties>
</file>