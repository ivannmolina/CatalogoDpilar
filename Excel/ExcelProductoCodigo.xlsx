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ACTUAL" sheetId="1" r:id="rId5"/>
  </sheets>
  <definedNames/>
  <calcPr/>
</workbook>
</file>

<file path=xl/sharedStrings.xml><?xml version="1.0" encoding="utf-8"?>
<sst xmlns="http://schemas.openxmlformats.org/spreadsheetml/2006/main" count="1410" uniqueCount="575">
  <si>
    <t>Denominación</t>
  </si>
  <si>
    <t>Foto</t>
  </si>
  <si>
    <t>Código</t>
  </si>
  <si>
    <t>Rubro</t>
  </si>
  <si>
    <t>Precio por bulto</t>
  </si>
  <si>
    <t>Unidades por bulto</t>
  </si>
  <si>
    <t>Precio por unidad</t>
  </si>
  <si>
    <t>Divisible</t>
  </si>
  <si>
    <t>Unidad de medida</t>
  </si>
  <si>
    <t>Medida por bulto</t>
  </si>
  <si>
    <t>Medida por unidad</t>
  </si>
  <si>
    <t>Comentario etiquetaxbulto</t>
  </si>
  <si>
    <t>Gramaje</t>
  </si>
  <si>
    <t>ACEITE GIRASOL PREMIER X900ML</t>
  </si>
  <si>
    <t>N1311</t>
  </si>
  <si>
    <t>A-MERCADERIA</t>
  </si>
  <si>
    <t>ACEITE GIRASOL COSTA DEL SOL X900ML</t>
  </si>
  <si>
    <t>N113</t>
  </si>
  <si>
    <t>ACEITE GIRASOL BONOLEO X900ML</t>
  </si>
  <si>
    <t>ARROZ TIO CARLOS 10X500</t>
  </si>
  <si>
    <t>Producto disponible solo por bulto</t>
  </si>
  <si>
    <t>ARROZ CAROGRAN 10X500</t>
  </si>
  <si>
    <t>N173</t>
  </si>
  <si>
    <t>ARROZ CAROGRAN 10X1KG</t>
  </si>
  <si>
    <t>n2526</t>
  </si>
  <si>
    <t>SI</t>
  </si>
  <si>
    <t>Gramos</t>
  </si>
  <si>
    <t>AZUCAR ECONÓMICA</t>
  </si>
  <si>
    <t>CACAO CHOCOLINO X180GR</t>
  </si>
  <si>
    <t>N213</t>
  </si>
  <si>
    <t>CAFÉ EN SAQUITOS LA VIRGINIA 5GR</t>
  </si>
  <si>
    <t>N218</t>
  </si>
  <si>
    <t>CAFÉ EN SAQUITOS LA VIRGINIA 7GR</t>
  </si>
  <si>
    <t>N219</t>
  </si>
  <si>
    <t>CAFÉ INSTANTANEO X36 SOBRES</t>
  </si>
  <si>
    <t>N220</t>
  </si>
  <si>
    <t>CAFÉ MOLIDO LA VIRGINIA 250GR</t>
  </si>
  <si>
    <t>N225</t>
  </si>
  <si>
    <t>CAFE MOLIDO LA VIRGINIA X125GR</t>
  </si>
  <si>
    <t>N1201</t>
  </si>
  <si>
    <t>CAFE INSTANTANEO CLASICO DP 170GR</t>
  </si>
  <si>
    <t>CAFE INSTANTANEO SUAVE DP 170GR</t>
  </si>
  <si>
    <t>CALDO ALICANTE</t>
  </si>
  <si>
    <t>Unitario</t>
  </si>
  <si>
    <t>CALDO KNORR CARNE X12</t>
  </si>
  <si>
    <t>CALDO KNORR GALLINA X12</t>
  </si>
  <si>
    <t>}</t>
  </si>
  <si>
    <t>CALDO KNORR VERDURAS X12</t>
  </si>
  <si>
    <t>CAPUCHINO X10 SOBRES</t>
  </si>
  <si>
    <t>EDULCORANTE SI-LIGTH 6X600ML</t>
  </si>
  <si>
    <t>N384</t>
  </si>
  <si>
    <t>EDULCORANTE SI-DIET 6X200</t>
  </si>
  <si>
    <t>N383</t>
  </si>
  <si>
    <t>EDULCORANTE STEVIA SI-DIET 6X200</t>
  </si>
  <si>
    <t>n382</t>
  </si>
  <si>
    <t>MERMELADA DE LA HUERTA X454GR</t>
  </si>
  <si>
    <t>N1100</t>
  </si>
  <si>
    <t>LECHE BAGGIO DESCREMADA 8X1LT</t>
  </si>
  <si>
    <t>N1329</t>
  </si>
  <si>
    <t>LECHE BAGGIO ENTERA 8X1LT</t>
  </si>
  <si>
    <t xml:space="preserve">FIDEO PROVIDENCIA </t>
  </si>
  <si>
    <t>N1340</t>
  </si>
  <si>
    <t>NO</t>
  </si>
  <si>
    <t>FIDEO PROVIDENCIA CABELLO DE ANGEL</t>
  </si>
  <si>
    <t>HARINA 000 FLORENCIA</t>
  </si>
  <si>
    <t>HARINA 0000 FLORENCIA</t>
  </si>
  <si>
    <t>HARINA LEUDANTE FLORENCIA</t>
  </si>
  <si>
    <t>HARINA FLORENCIA PARA PIZZA</t>
  </si>
  <si>
    <t>197B</t>
  </si>
  <si>
    <t>POLENTA LA NONNA X400GR</t>
  </si>
  <si>
    <t>N785</t>
  </si>
  <si>
    <t>PICADILLO LA NEGRA X90GR</t>
  </si>
  <si>
    <t>N769</t>
  </si>
  <si>
    <t>PULPA DE TOMATE HUERTA 8X1018GR</t>
  </si>
  <si>
    <t>N425</t>
  </si>
  <si>
    <t>PULPA DE TOMATE 7 DIAS 18X205GR</t>
  </si>
  <si>
    <t>PULPA DE TOMATE 7 DIAS 8X1018GR</t>
  </si>
  <si>
    <t>PULPA DE TOMATE 7 DIAS 12X520GR</t>
  </si>
  <si>
    <t>PURE DE TOMATE 7 DIAS 12X530GR</t>
  </si>
  <si>
    <t>PURE DE TOMATE HUERTA 12X530GR</t>
  </si>
  <si>
    <t>PURE DE TOMATE HUERTA 18X210GR</t>
  </si>
  <si>
    <t>PURE DE TOMATE HUERTA 8X1030GR</t>
  </si>
  <si>
    <t>SAL FINA TRESAL X500GR</t>
  </si>
  <si>
    <t>N875</t>
  </si>
  <si>
    <t>SAL ENTREFINA TRESAL XKG</t>
  </si>
  <si>
    <t>N876</t>
  </si>
  <si>
    <t>SAL GRUESA TRESAL XKG</t>
  </si>
  <si>
    <t>N877</t>
  </si>
  <si>
    <t>SALSA DE TOMATE CHICA "PICO DE ORO" X15</t>
  </si>
  <si>
    <t>N898</t>
  </si>
  <si>
    <t>TE LA VIRGINIA X25</t>
  </si>
  <si>
    <t>N5829</t>
  </si>
  <si>
    <t>YERBA VERDE FLOR SERRANA X500GR</t>
  </si>
  <si>
    <t>SALSA DE TOMATE GRANDE "PICO DE ORO" X8</t>
  </si>
  <si>
    <t>N900</t>
  </si>
  <si>
    <t xml:space="preserve">A-MERCADERIA </t>
  </si>
  <si>
    <t>SALSA DE TOMATE MEDIANA "PICO DE ORO" X12</t>
  </si>
  <si>
    <t>N901</t>
  </si>
  <si>
    <t>LENTEJAS LA NONNA X400GR</t>
  </si>
  <si>
    <t>N612</t>
  </si>
  <si>
    <t>MAYONESA HELLMANS 12X237GR</t>
  </si>
  <si>
    <t>B-ADEREZOS</t>
  </si>
  <si>
    <t>MAYONESA HELLMANS 20X118GR</t>
  </si>
  <si>
    <t>ATUN CUMANA DESMENUZADO EN ACEITE</t>
  </si>
  <si>
    <t>N2561</t>
  </si>
  <si>
    <t>B-ENLATADOS</t>
  </si>
  <si>
    <t>ATUN CUMANA DESMUNAZADO AL NATURAL</t>
  </si>
  <si>
    <t>N180</t>
  </si>
  <si>
    <t>CHAMPIGNON LAMINADO CUMANA X284GR</t>
  </si>
  <si>
    <t>N5610</t>
  </si>
  <si>
    <t>CHAMPIGNON ENTERO CUMANA X284GR</t>
  </si>
  <si>
    <t>N12701</t>
  </si>
  <si>
    <t>CABALLA AL NATURA X380GR</t>
  </si>
  <si>
    <t>N211</t>
  </si>
  <si>
    <t>CABALLA EN ACEITE CUMANA X380GR</t>
  </si>
  <si>
    <t>N5617</t>
  </si>
  <si>
    <t>ANANA RODAJAS CUMANA X850GR</t>
  </si>
  <si>
    <t>N158</t>
  </si>
  <si>
    <t>CHOCLO EN LATA CUMANA X300GR</t>
  </si>
  <si>
    <t>N291</t>
  </si>
  <si>
    <t>MORRON CUMANA X185GR</t>
  </si>
  <si>
    <t>TOMATE PERITA CUMANA X400GR</t>
  </si>
  <si>
    <t>N819</t>
  </si>
  <si>
    <t>EXTRACTO DE TOMATE 150GR</t>
  </si>
  <si>
    <t>N398</t>
  </si>
  <si>
    <t>JUGO RINDE 2</t>
  </si>
  <si>
    <t>N554</t>
  </si>
  <si>
    <t>C-JUGOS</t>
  </si>
  <si>
    <t>Litros</t>
  </si>
  <si>
    <t>VODKA NEWSTYLE BIO EVOLUTION X1LT</t>
  </si>
  <si>
    <t>N368</t>
  </si>
  <si>
    <t>VODKA NEWSTYLE BIO EVOLUTION X1LT NUEVOS SABORES</t>
  </si>
  <si>
    <t>VODKA NEWSTYLE SABORIZADO X1LT</t>
  </si>
  <si>
    <t>RON COCO BONGO X1LT</t>
  </si>
  <si>
    <t>N1061</t>
  </si>
  <si>
    <t>BAGGIO FRESH LIMONE 6X1500</t>
  </si>
  <si>
    <t>D-AGUAS</t>
  </si>
  <si>
    <t>BAGGIO FRESH MANZANA 6x1500</t>
  </si>
  <si>
    <t>BAGGIO FRESH MIX FRUTAL 6X1500</t>
  </si>
  <si>
    <t>BAGGIO FRESH NARANJA 6X1500</t>
  </si>
  <si>
    <t>BAGGIO FRESH POMELO 6X1500</t>
  </si>
  <si>
    <t>CHIZITO AMARILLO</t>
  </si>
  <si>
    <t>E-COPETIN</t>
  </si>
  <si>
    <t>CHIZITO NARANJA</t>
  </si>
  <si>
    <t>CONITO 3D LAWYS</t>
  </si>
  <si>
    <t>MANI SABORIZADO JAMON</t>
  </si>
  <si>
    <t>MANI SABORIZADO PIZZA</t>
  </si>
  <si>
    <t>MANI SABORIZADO QUESO</t>
  </si>
  <si>
    <t>MANI SABORIZADO SALAME</t>
  </si>
  <si>
    <t>MANI SALADO</t>
  </si>
  <si>
    <t>PALITO SALADO</t>
  </si>
  <si>
    <t>PAPA CLASICA FANEGA</t>
  </si>
  <si>
    <t>PAPA SABOR KETCHUP FANEGA</t>
  </si>
  <si>
    <t>PUFLITO</t>
  </si>
  <si>
    <t>TUTUCA x1KG</t>
  </si>
  <si>
    <t>JUGO MINYO ACIDO PARA CONGELAR X30</t>
  </si>
  <si>
    <t>JUGO DULCIN PARA CONGELAR X30</t>
  </si>
  <si>
    <t>g101</t>
  </si>
  <si>
    <t>ALFAJOR GUAYMALLEN SIMPLE X40U BLANCO</t>
  </si>
  <si>
    <t>F-ALFAJORES</t>
  </si>
  <si>
    <t>ALFAJOR GUAYMALLEN SIMPLE X40U NEGRO</t>
  </si>
  <si>
    <t>ALFAJOR GUAYMALLEN TRIPLE X24U B</t>
  </si>
  <si>
    <t>ALFAJOR GUAYMALLEN TRIPLE X24U N</t>
  </si>
  <si>
    <t>ALFAJOR GUAYMALLEN TRIPLE X24U FRUTA</t>
  </si>
  <si>
    <t>ALFAJOR FULBITO MANI X40U</t>
  </si>
  <si>
    <t>ALFAJOR FULBITO CHOCOLATE X40U</t>
  </si>
  <si>
    <t>ALFAJOR FULBITO BLACK X40U</t>
  </si>
  <si>
    <t>ALFAJOR SMACK BLANCO X24U</t>
  </si>
  <si>
    <t>N145</t>
  </si>
  <si>
    <t>ALFAJOR TRIPLE GENIO X24U B</t>
  </si>
  <si>
    <t>ALFAJOR TRIPLE GENIO X24U N</t>
  </si>
  <si>
    <t>TORTA GENIO NEGRO X20</t>
  </si>
  <si>
    <t>TORTA GENIO BLANCO X20</t>
  </si>
  <si>
    <t>TURRON FULBITO X50</t>
  </si>
  <si>
    <t>N990</t>
  </si>
  <si>
    <t>ALFAJOR MOGGY NEGRO X40</t>
  </si>
  <si>
    <t>ALFAJOR MOGGY BLANCO X40</t>
  </si>
  <si>
    <t>PEPAS AIRES DE LUJAN X180GR</t>
  </si>
  <si>
    <t>N758</t>
  </si>
  <si>
    <t>RAPSODIA X24</t>
  </si>
  <si>
    <t>PICNIC X40</t>
  </si>
  <si>
    <t>TORTA SMACK NEGRO X20</t>
  </si>
  <si>
    <t>BOMBON SMACK X30</t>
  </si>
  <si>
    <t>CUBANITO SMACK X48</t>
  </si>
  <si>
    <t>G20</t>
  </si>
  <si>
    <t>OBLEA SMACK RELLENA X48</t>
  </si>
  <si>
    <t>C24</t>
  </si>
  <si>
    <t>ALFAJOR SMACK DULCE DE LECHE X24</t>
  </si>
  <si>
    <t>N144</t>
  </si>
  <si>
    <t>ALFAJOR SMACK MOUSSE CHOCOLATE X24</t>
  </si>
  <si>
    <t>BOCADITO NEVARES X23GR</t>
  </si>
  <si>
    <t>N201</t>
  </si>
  <si>
    <t>GALLETA SURTIDA ZUPAY X3050GR</t>
  </si>
  <si>
    <t>G7</t>
  </si>
  <si>
    <t>G-GALLETAS</t>
  </si>
  <si>
    <t>MAGDALENA POZO X200GR</t>
  </si>
  <si>
    <t>MAGDALENA POZO CLASICA X200GR</t>
  </si>
  <si>
    <t>MAGDALENA POZO RELLENA DULCE DE LECHE X200GR</t>
  </si>
  <si>
    <t>MAGDALENA POZO CHIPS X200GR</t>
  </si>
  <si>
    <t>MAGDALENA POZO MARMOLADAS X200GR</t>
  </si>
  <si>
    <t>MAGDALENA POZO COCO RELLENO DULCE DE LECHE X200GR</t>
  </si>
  <si>
    <t>MAGDALENA POZO CHOCO RELLENO DULCE DE LECHE X200GR</t>
  </si>
  <si>
    <t>BUDIN POZO CHIPS X160GR</t>
  </si>
  <si>
    <t>N210</t>
  </si>
  <si>
    <t>BUDIN VAINILLA X160GR</t>
  </si>
  <si>
    <t>BUDIN MARMOLADO X170GR</t>
  </si>
  <si>
    <t>PUDDING POZO CHOCOLATE C/ALMENDRAS X300GR</t>
  </si>
  <si>
    <t>PUDDING POZO VAINILLA RELL DULCE DE LECHE X300GR</t>
  </si>
  <si>
    <t>PAN DULCE BUON NATALE X400GR</t>
  </si>
  <si>
    <t>N716</t>
  </si>
  <si>
    <t>PAN DULCE NEVARES C/CHIPS X500GR</t>
  </si>
  <si>
    <t>N1105</t>
  </si>
  <si>
    <t>GALLETA ARGENTITAS X3</t>
  </si>
  <si>
    <t>GALLETA DALE MARIA X145GR</t>
  </si>
  <si>
    <t>GALLETA DALE FRUTILLA X81GR</t>
  </si>
  <si>
    <t>N451</t>
  </si>
  <si>
    <t>GALLETA DALE VAINILLA X81GR</t>
  </si>
  <si>
    <t>GALLETA DALE CHOCOLATE X81GR</t>
  </si>
  <si>
    <t>GALLETA CHOCO PAMELA X170GR</t>
  </si>
  <si>
    <t>N459</t>
  </si>
  <si>
    <t>GALLETA CHOCO PAMELA X220GR</t>
  </si>
  <si>
    <t>G19</t>
  </si>
  <si>
    <t>GALLETAS MINI PAMELA X45GR</t>
  </si>
  <si>
    <t>N452</t>
  </si>
  <si>
    <t>GALLETAS MINI PAMELA X180GR</t>
  </si>
  <si>
    <t>N439</t>
  </si>
  <si>
    <t>GALLETA PAMELA RELLENA CHOCOLATE 97GR</t>
  </si>
  <si>
    <t>N458</t>
  </si>
  <si>
    <t>GALLETA PAMELA RELLENA VAINILLA 97GR</t>
  </si>
  <si>
    <t>N457</t>
  </si>
  <si>
    <t>MAGDALENAS PAMELA CON CHIPS 200G</t>
  </si>
  <si>
    <t>N463</t>
  </si>
  <si>
    <t>MAGDALENAS PAMELA MARMOLADA 200G</t>
  </si>
  <si>
    <t>MAGDALENAS PAMELA VAINILLA C/DDL  X200G</t>
  </si>
  <si>
    <t>MAGDALENAS PAMELA BAÑADAS C/DDLY GRANAS 200G</t>
  </si>
  <si>
    <t>GALLETAS SURTIDAS ZUPAY X350GR</t>
  </si>
  <si>
    <t>GALLETAS SURTIDAS ZUPAY GLASEADAS X300GR</t>
  </si>
  <si>
    <t>N456</t>
  </si>
  <si>
    <t>GALLETAS AIRE DE LUJAN CHOCOLATE  X180GR</t>
  </si>
  <si>
    <t>N453</t>
  </si>
  <si>
    <t>GALLETITAS FULBITO X120GR</t>
  </si>
  <si>
    <t>N628</t>
  </si>
  <si>
    <t>GALLETAS COQUITOS X45GR</t>
  </si>
  <si>
    <t>GALLETAS PALMERITAS X45GR</t>
  </si>
  <si>
    <t>N5330</t>
  </si>
  <si>
    <t>GALLETAS BOQUITAS DE LIMON X45GR</t>
  </si>
  <si>
    <t>GALLETA FESTIVA MAX X350GR</t>
  </si>
  <si>
    <t>GALLETA FESTIVA CHIPS X300GR</t>
  </si>
  <si>
    <t>GALLETA MAFALDA TRIANGULOS X150GR</t>
  </si>
  <si>
    <t>N449</t>
  </si>
  <si>
    <t>GALLETA MAFALDA LARGUITAS X150GR</t>
  </si>
  <si>
    <t>GALLETA MINI OREO X50GR</t>
  </si>
  <si>
    <t>GALLETA MINI MANTEQUITA X45GR</t>
  </si>
  <si>
    <t>GALLETA MINI CHIPS X50GR</t>
  </si>
  <si>
    <t>N446</t>
  </si>
  <si>
    <t>GALLETA OREO X118GR</t>
  </si>
  <si>
    <t>GALLETA POLVORITA X80GR FRUTILLA</t>
  </si>
  <si>
    <t>GALLETA POLVORITA X80GR VAINILLA</t>
  </si>
  <si>
    <t>GALLETA PROVIDENCIA X3</t>
  </si>
  <si>
    <t>OBLEA TYM VAINILLA X50GR</t>
  </si>
  <si>
    <t>OBLEA TYM FRUTILLA X50GR</t>
  </si>
  <si>
    <t>OBLEA TYM DULCE DE LECHE X50GR</t>
  </si>
  <si>
    <t>OBLEA TYM CHOCOLATE X50GR</t>
  </si>
  <si>
    <t>OBLEAS CHOCOLATE HIP HOP X75GR</t>
  </si>
  <si>
    <t>N1363</t>
  </si>
  <si>
    <t>OBLEAS FRUTILLA HIP HOP X75GR</t>
  </si>
  <si>
    <t>N1366</t>
  </si>
  <si>
    <t>OBLEAS VAINILLA HIP HOP X75GR</t>
  </si>
  <si>
    <t>N1367</t>
  </si>
  <si>
    <t>OBLEAS ZUPAY CLASICA 4X50GR</t>
  </si>
  <si>
    <t>N438</t>
  </si>
  <si>
    <t>OBLEAS ZUPAY CHOCOLATE X50GR.</t>
  </si>
  <si>
    <t>OBLEAS ZUPAY FRUTILLA X50GR</t>
  </si>
  <si>
    <t>OBLEAS ZUPAY VAINILLA X50GR</t>
  </si>
  <si>
    <t>POLVORITA CHOCOLATE X80GR</t>
  </si>
  <si>
    <t>POLVORON X3KG</t>
  </si>
  <si>
    <t>VAINILLA MAURI X80GR</t>
  </si>
  <si>
    <t>GALLETA DON PAOLO SURTIDAS X300GR</t>
  </si>
  <si>
    <t>G156</t>
  </si>
  <si>
    <t xml:space="preserve">AZUKITA CON BILLETES </t>
  </si>
  <si>
    <t>N141</t>
  </si>
  <si>
    <t>H-GOLOSINA</t>
  </si>
  <si>
    <t>TURRON TURROC OBLITA 48 U. X 21 G.</t>
  </si>
  <si>
    <t>N400</t>
  </si>
  <si>
    <t>CUBANITO OBLITA X 48 U. VARIOS SABORES</t>
  </si>
  <si>
    <t>N637</t>
  </si>
  <si>
    <t>CUBANITO OBLITA X 15 P. X 4 U. X VARIOS SABORES</t>
  </si>
  <si>
    <t>N630</t>
  </si>
  <si>
    <t>OBLEA BAÑADA OBLIBON X 20 U. X 28 G. NEGRA</t>
  </si>
  <si>
    <t>N634</t>
  </si>
  <si>
    <t>OBLEA BAÑADA OBLIBON X 20 U. X 28 G. BLANCA</t>
  </si>
  <si>
    <t>N635</t>
  </si>
  <si>
    <t>OBLEA OBLITA FIT X 24 U. X 16 G. LIMON</t>
  </si>
  <si>
    <t>N636</t>
  </si>
  <si>
    <t>BOCADITO OBLIBON X 36 U. VARIOS SABORES</t>
  </si>
  <si>
    <t>N638</t>
  </si>
  <si>
    <t>BOMBON OBLIBON X 30 U. VARIOS SABORES</t>
  </si>
  <si>
    <t>BOMBON OBLIBON X 15 U. X 15 G. MIX</t>
  </si>
  <si>
    <t>N984</t>
  </si>
  <si>
    <t>BOMBON OBLIBON HEXAGONAL X 10 U. X 15 G. CLASICO</t>
  </si>
  <si>
    <t>G17</t>
  </si>
  <si>
    <t>BOMBON OBLIBON HEXAGONAL X 10 U. X 15 G. BLANCO</t>
  </si>
  <si>
    <t>CARAMELO ALKA ACIDOS X800GR</t>
  </si>
  <si>
    <t xml:space="preserve">arreglar x10 </t>
  </si>
  <si>
    <t>CARAMELO ALKA CREMOSO X800GR</t>
  </si>
  <si>
    <t>CARAMELO ALKA NEGRO X800GR</t>
  </si>
  <si>
    <t>CARAMELO ALKA ROJO X800GR</t>
  </si>
  <si>
    <t>CARAMELO ALKA VERDE X800GR</t>
  </si>
  <si>
    <t>CARAMELO MENTA CRISTAL MISKY</t>
  </si>
  <si>
    <t>MASTICABLE TNT ACIDO X60</t>
  </si>
  <si>
    <t>MASTICABLE TNT PINTALENGUA X60</t>
  </si>
  <si>
    <t>CHICLE CROC UVA X40</t>
  </si>
  <si>
    <t>CHICLE CROC RECARGADO FRAMBUEZA X40</t>
  </si>
  <si>
    <t>CHICLE CROC RECARGADO MENTA X40</t>
  </si>
  <si>
    <t>CHICLE TNT ACIDO X40</t>
  </si>
  <si>
    <t>CARAMELO FREEGELLS X12</t>
  </si>
  <si>
    <t>CHOCOLATE HERSHEY AIREADO CHOCOLATE CON LECHE X85GR</t>
  </si>
  <si>
    <t>n296</t>
  </si>
  <si>
    <t>CHOCOLATE HERSHEY 73% CACAO X85GR</t>
  </si>
  <si>
    <t>n245</t>
  </si>
  <si>
    <t>CHOCOLATE HERSHEY COOKIES AND CREME X77GR</t>
  </si>
  <si>
    <t>CHOCOLATE P/TAZA ALTEZA</t>
  </si>
  <si>
    <t>CHUPETIN CRAZY POP FRUTILLA X20</t>
  </si>
  <si>
    <t>g32</t>
  </si>
  <si>
    <t>CHUPETIN CRAZY POP UVA X20</t>
  </si>
  <si>
    <t>g35</t>
  </si>
  <si>
    <t>CHUPETIN CRAZY POP SANDIA X20</t>
  </si>
  <si>
    <t>g100</t>
  </si>
  <si>
    <t>CHUPETIN CRAZY POP NARANJA X20</t>
  </si>
  <si>
    <t>CHUPETIN EVOLUTIÓN AZUL</t>
  </si>
  <si>
    <t>CHUPETIN EVOLUTION FEST</t>
  </si>
  <si>
    <t>N302</t>
  </si>
  <si>
    <t>CHUPETIN EVOLUTION ROJO</t>
  </si>
  <si>
    <t>CHUPETIN EVOLUTION ACIDO</t>
  </si>
  <si>
    <t>CHUPETIN POP MANIA CEREZA</t>
  </si>
  <si>
    <t>CHUPETIN POP MANIA FRAMBUEZA</t>
  </si>
  <si>
    <t>CHUPETIN POP MANIA FRUTILLA</t>
  </si>
  <si>
    <t>CHUPETIN TNT X48</t>
  </si>
  <si>
    <t>GUMMI ZONE PIZZA X24</t>
  </si>
  <si>
    <t>GUMMI ZONE BURGUER X24</t>
  </si>
  <si>
    <t>GUMMI ZONE DOGGIE X24</t>
  </si>
  <si>
    <t>GOMITA OJITOS X30</t>
  </si>
  <si>
    <t>GOMITA FRUTILLA X30</t>
  </si>
  <si>
    <t>GOMITA PIÑATA ANILLO X700GR</t>
  </si>
  <si>
    <t>GOMITA PIÑATA HUESITO X700GR</t>
  </si>
  <si>
    <t>GOMITA PIÑATA REDONDA X700GR</t>
  </si>
  <si>
    <t>GOMITA PIÑATA SURTIDAS X700GR</t>
  </si>
  <si>
    <t>GOMITA PIÑATA ANILLO CRUNCH X700GR</t>
  </si>
  <si>
    <t>GOMITA PIÑATA UVITA CRUNCH X700GR</t>
  </si>
  <si>
    <t>GOMITA PIÑATA EUCALIPTO X700GR</t>
  </si>
  <si>
    <t>GOMITA YUMMY FRUTILLA A LA CREMA X500gr</t>
  </si>
  <si>
    <t>GOL1</t>
  </si>
  <si>
    <t>GOMITA YUMMY MORAS X500Gr</t>
  </si>
  <si>
    <t>GOMITA YUMMY x500 BANANA</t>
  </si>
  <si>
    <t>GOMITA YUMMY X500GR OSITOS</t>
  </si>
  <si>
    <t>GOMITA YUMMY X500GR OSITOS ACIDOS</t>
  </si>
  <si>
    <t>GOMITA YUMMY X500GRS CIEN PIES</t>
  </si>
  <si>
    <t>HAMLET ALMENDRAS Y MANI x43GR</t>
  </si>
  <si>
    <t>HAMLET BICOLOR X43GR</t>
  </si>
  <si>
    <t>HAMLET BLANCO X43GR</t>
  </si>
  <si>
    <t>HAMLET CHOCOLATOSO X43GR</t>
  </si>
  <si>
    <t>HAMLET COCO X43GR</t>
  </si>
  <si>
    <t>HAMLET COOKIES X43GR</t>
  </si>
  <si>
    <t>HAMLET YOGHURT FRUTILLA X43GR</t>
  </si>
  <si>
    <t>MALVADISCOS GONGYS</t>
  </si>
  <si>
    <t>MALVADISCOS GONGYS X200GR</t>
  </si>
  <si>
    <t>REGALIZ BULLDOG X12</t>
  </si>
  <si>
    <t>REGALIZ BULLDOG X360GR</t>
  </si>
  <si>
    <t>POTE BILLIKEN YOGURTH X600GR</t>
  </si>
  <si>
    <t>N665</t>
  </si>
  <si>
    <t>CHICLE BELDENT X20</t>
  </si>
  <si>
    <t>MASTICABLE BILLIKEN FRUTAL</t>
  </si>
  <si>
    <t>MASTICABLE BILLIKEN YOGURTH</t>
  </si>
  <si>
    <t>MASTICABLE MISKY</t>
  </si>
  <si>
    <t>MENTITA LA CASA KID DULCE DE LECHE</t>
  </si>
  <si>
    <t>MENTITA LA CASA SABOR FRUTA X12</t>
  </si>
  <si>
    <t>MENTITA LA CASA SABOR MENTA X12</t>
  </si>
  <si>
    <t>MENTITA LA CASA SABOR TUTTI X12</t>
  </si>
  <si>
    <t>MENTITA SABOR BANANA X12</t>
  </si>
  <si>
    <t>OBLEAS TYM BAÑADA CHOCOLATE x20</t>
  </si>
  <si>
    <t>PASTILLA BIYU</t>
  </si>
  <si>
    <t>PASTILLAS BULLDOG X12U</t>
  </si>
  <si>
    <t>PASTILLAS YIPI X12U</t>
  </si>
  <si>
    <t>ROMPEMUELAS</t>
  </si>
  <si>
    <t>SAPITO CHOCOLATOSO X24U</t>
  </si>
  <si>
    <t>SAPITO SABOR DULCE DE LECHE</t>
  </si>
  <si>
    <t>SAPITO SABOR FRUTILLA</t>
  </si>
  <si>
    <t>SAPITO SABOR MANI</t>
  </si>
  <si>
    <t>TURRON DE ARROZ X30</t>
  </si>
  <si>
    <t>N142</t>
  </si>
  <si>
    <t>YUMMY ANIMALITOS X12</t>
  </si>
  <si>
    <t>N2354</t>
  </si>
  <si>
    <t>YUMMY DINO X12</t>
  </si>
  <si>
    <t>YUMMY MORA X12</t>
  </si>
  <si>
    <t>N2435</t>
  </si>
  <si>
    <t>YUMMY OSITO X12</t>
  </si>
  <si>
    <t>N2356</t>
  </si>
  <si>
    <t>YUMMY OSITOS ÁCIDOS X12</t>
  </si>
  <si>
    <t>YUMMY PIECITOS X12</t>
  </si>
  <si>
    <t>JUGO BAGGIO PRONTO X125ML</t>
  </si>
  <si>
    <t>I-JUGOS</t>
  </si>
  <si>
    <t>JUGO BAGGIO PRONTO X200ML</t>
  </si>
  <si>
    <t>JUGO BAGGIO FRESH X200ML</t>
  </si>
  <si>
    <t>JUGO BAGGIO PRONTO X1LT</t>
  </si>
  <si>
    <t>CHOCOLATADA BAGGIO X200</t>
  </si>
  <si>
    <t>CHOCOLATADA BAGGIO X1LT</t>
  </si>
  <si>
    <t>CHOCOLATADA 7 DIAS X200</t>
  </si>
  <si>
    <t>CHOCOLATADA 7 DIAS X1LT</t>
  </si>
  <si>
    <t>JUGO BAGGIO DURAZNO X125 ML</t>
  </si>
  <si>
    <t>JUGO BAGGIO DURAZNO X200 ML</t>
  </si>
  <si>
    <t>JUGO BAGGIO FRESH MANZANA X200</t>
  </si>
  <si>
    <t>JUGO BAGGIO FRESH MIX FRUTAL X200</t>
  </si>
  <si>
    <t>JUGO BAGGIO FRESH NARANJA X200</t>
  </si>
  <si>
    <t>JUGO BAGGIO MANZANA X200 ML</t>
  </si>
  <si>
    <t>JUGO BAGGIO MIX FRUTAL X200 ML</t>
  </si>
  <si>
    <t>JUGO BAGGIO MIXFRUTAL X125ML</t>
  </si>
  <si>
    <t>JUGO BAGGIO NARANJA X200 ML</t>
  </si>
  <si>
    <t>LAVANDINA EN GEL HEROE X700ML</t>
  </si>
  <si>
    <t>J-LIMPIEZA</t>
  </si>
  <si>
    <t>LAVANDINA HEROE X1LT</t>
  </si>
  <si>
    <t>LAVANDINA HEROE X2LTS</t>
  </si>
  <si>
    <t>N115</t>
  </si>
  <si>
    <t>ACONDICIONADOR SEDAL DOYPACK BALANCE X300 ML</t>
  </si>
  <si>
    <t>ACONDICIONADOR SEDAL DOYPACK CERAMIDAS X300ML</t>
  </si>
  <si>
    <t>ACONDICIONADOR SUAVE BRILLOS CERAMIDAS X930ML</t>
  </si>
  <si>
    <t>ALA LAVAVAJILLA CREM GLICERINA 750ML</t>
  </si>
  <si>
    <t>ALA LAVAVAJILLA CRIS LIMON 750ML</t>
  </si>
  <si>
    <t>ALA POLVO LAVADO A MANO 400GR</t>
  </si>
  <si>
    <t>ALA POLVO MATIC SOL MAX X400GR</t>
  </si>
  <si>
    <t>DESODORANTE AXE X150ML</t>
  </si>
  <si>
    <t>DESODORANTE AXE APOLLO X150 ML</t>
  </si>
  <si>
    <t>DESODORANTE AXE BIZARRAP 150 ML</t>
  </si>
  <si>
    <t>DESODORANTE AXE DARK X150ML</t>
  </si>
  <si>
    <t>DESODORANTE AXE GOLD VAINILLA 152ML</t>
  </si>
  <si>
    <t>DETERGENTE HEROE ULTRA MANZANA X300ML</t>
  </si>
  <si>
    <t>DETERGENTE HEROE ULTRA LIMON X300ML</t>
  </si>
  <si>
    <t>DETERGENTE HEROE ULTRA LIMON X500ML</t>
  </si>
  <si>
    <t>N356</t>
  </si>
  <si>
    <t>DETERGENTE HEROE ULTRA MANZANA X500ML</t>
  </si>
  <si>
    <t>N355</t>
  </si>
  <si>
    <t>JABON LIQUIDO HEROE BOTELLA X800ML</t>
  </si>
  <si>
    <t>N1141</t>
  </si>
  <si>
    <t>JABON LIQUIDO HEROE DOY PACK X800ml</t>
  </si>
  <si>
    <t>N1313</t>
  </si>
  <si>
    <t>JABON LIQUIDO HEROE BOTELLA BIO EVO X800ML</t>
  </si>
  <si>
    <t>JABON LIQUIDO HEROE DOY PACK X3LTS</t>
  </si>
  <si>
    <t>N510</t>
  </si>
  <si>
    <t>JABON LIQUIDO HEROE DOY PACK BIO EVO X3LTS</t>
  </si>
  <si>
    <t>JABON LUX FLOR DE VAINILLA X125GR</t>
  </si>
  <si>
    <t>N2125</t>
  </si>
  <si>
    <t>JABON LUX LIRIO AZUL X125GR</t>
  </si>
  <si>
    <t>N2123</t>
  </si>
  <si>
    <t>JABON LUX ROSA FRANCESA X125GR</t>
  </si>
  <si>
    <t>N2124</t>
  </si>
  <si>
    <t>JABON REXONA ACTIVE X125GR</t>
  </si>
  <si>
    <t>N12425</t>
  </si>
  <si>
    <t>JABON REXONA BAMBOO X125GR</t>
  </si>
  <si>
    <t>JABON REXONA COTTON FRESH X125GR</t>
  </si>
  <si>
    <t>JABON REXONA SENSIBLE FRESH X125GR</t>
  </si>
  <si>
    <t>N12436</t>
  </si>
  <si>
    <t>LAVAVAJILLA HEROE GLICERINA X750</t>
  </si>
  <si>
    <t>LAVAVAJILLA HEROE LIMON X750</t>
  </si>
  <si>
    <t>LIMPIADOR HEROE X900</t>
  </si>
  <si>
    <t>SUAVIZANTE HEROE BRISA SILVESTRE X900</t>
  </si>
  <si>
    <t>N1018</t>
  </si>
  <si>
    <t>LIMPIADOR HEROE A.VERANO X900</t>
  </si>
  <si>
    <t>LIMPIADOR HEROE LAVANDA X900</t>
  </si>
  <si>
    <t>LIMPIADOR HEROE PRIMAVERA X900</t>
  </si>
  <si>
    <t>LIMPIADOR HEROE PINO X900</t>
  </si>
  <si>
    <t>LIMPIADOR HEROE B. DEL MAR X900</t>
  </si>
  <si>
    <t>LIMPIADOR HEROE LIMON X900</t>
  </si>
  <si>
    <t xml:space="preserve">PAÑALES HUGGIES VARIOS TALLES X 8U </t>
  </si>
  <si>
    <t>N733</t>
  </si>
  <si>
    <t>PAÑALES HUGGIES G 8U</t>
  </si>
  <si>
    <t>PAÑALES HUGGIES M 8U</t>
  </si>
  <si>
    <t>N737</t>
  </si>
  <si>
    <t>PAÑALES HUGGIES P 8U</t>
  </si>
  <si>
    <t>N736</t>
  </si>
  <si>
    <t>PAÑALES HUGGIES XG 8U</t>
  </si>
  <si>
    <t>N738</t>
  </si>
  <si>
    <t>PAÑALES HUGGIES XXG 8U</t>
  </si>
  <si>
    <t>N739</t>
  </si>
  <si>
    <t>PAPEL HIGIENICO FELPITA X4</t>
  </si>
  <si>
    <t>MAQUINA AFEITAR MINORA X10</t>
  </si>
  <si>
    <t>PRESTOBARBA GILLETE 2 FILOS X10U</t>
  </si>
  <si>
    <t>REXONA ODORONO X60GR</t>
  </si>
  <si>
    <t>N160</t>
  </si>
  <si>
    <t>INSECT CUCARACHICIDA SIN OLOR ESCUDO X360ML</t>
  </si>
  <si>
    <t>n844</t>
  </si>
  <si>
    <t>INSECT MATA PULGAS Y GARRAPATAS ESCUDO X400ML</t>
  </si>
  <si>
    <t>N1309</t>
  </si>
  <si>
    <t>INSECT MATA MOSCA Y MOSQUITOS X360ML</t>
  </si>
  <si>
    <t>N846</t>
  </si>
  <si>
    <t>INSECT MATA MOSCA Y MOSQUITOS SIN OLOR X360ML</t>
  </si>
  <si>
    <t>REPELENTE ESCUDO AEROSOLO ORIGINAL 180ML</t>
  </si>
  <si>
    <t>N853</t>
  </si>
  <si>
    <t>ESPIRALES RAID</t>
  </si>
  <si>
    <t>N390</t>
  </si>
  <si>
    <t>RAID AER MMM 380CM3</t>
  </si>
  <si>
    <t>N845</t>
  </si>
  <si>
    <t>ROLLO DE COCINA CARTABELLA X3</t>
  </si>
  <si>
    <t>SHAMPOO SEDAL DOYPACK BALANCE X300 ML</t>
  </si>
  <si>
    <t>SHAMPOO SEDAL DOYPACK SERAMIDAS X300 ML</t>
  </si>
  <si>
    <t>SHAMPOO SEDAL SOBRES</t>
  </si>
  <si>
    <t>SHAMPOO SUAVE CERAMIDAS X930ML</t>
  </si>
  <si>
    <t>N1364</t>
  </si>
  <si>
    <t>TALCO EFFICIENT ORIGINAL X100GR</t>
  </si>
  <si>
    <t>L25</t>
  </si>
  <si>
    <t>TOALLITAS HUMEDAS IDEAL CLASICAS X50U</t>
  </si>
  <si>
    <t>TOALLITAS HUMEDAS IDEAL ALOE X50U</t>
  </si>
  <si>
    <t>N1307</t>
  </si>
  <si>
    <t>PROTECTORES DONCELLA X20</t>
  </si>
  <si>
    <t>TOALLAS DONCELLA S/DES X8</t>
  </si>
  <si>
    <t>L36</t>
  </si>
  <si>
    <t>TOALLAS LADYSOFT X8</t>
  </si>
  <si>
    <t>N973</t>
  </si>
  <si>
    <t>GRANDBY MATIC POLVO LAVADO TOTAL x400GR</t>
  </si>
  <si>
    <t>CIF DETERGENTE 300ML LIMON</t>
  </si>
  <si>
    <t>CIF DETERGENTE 300ML LIMA</t>
  </si>
  <si>
    <t>NAIPES CANDELA X50</t>
  </si>
  <si>
    <t>K-OTROS</t>
  </si>
  <si>
    <t>BICARBONATO "YUSPE"</t>
  </si>
  <si>
    <t>BORSA X200</t>
  </si>
  <si>
    <t>BORSA ANIS X200</t>
  </si>
  <si>
    <t>BORSA CAFE AL COGNAC X200CC</t>
  </si>
  <si>
    <t>BORSA CHOCOLATE X200</t>
  </si>
  <si>
    <t>BORSA DULCE DE LECHE X200CC</t>
  </si>
  <si>
    <t>BORSA PIÑA COLADA X200CC</t>
  </si>
  <si>
    <t>BORSA RON X200CC</t>
  </si>
  <si>
    <t>BORSA TEQUILA X200CC</t>
  </si>
  <si>
    <t>BORSA VODKA X200CC</t>
  </si>
  <si>
    <t>BORSA WHISKY X200</t>
  </si>
  <si>
    <t>ADHESIVO INSTANTANEO LIQUIDO 2GR</t>
  </si>
  <si>
    <t>ADHESIVO INSTANTANEO GEL PLUS 3GR</t>
  </si>
  <si>
    <t>LAMPARA 10W MULTILED FRIA</t>
  </si>
  <si>
    <t>N1510</t>
  </si>
  <si>
    <t>LAMPARA 10W MULTILED CALIDA</t>
  </si>
  <si>
    <t>N101</t>
  </si>
  <si>
    <t>LAMPARA 20W MULTILED FRIA</t>
  </si>
  <si>
    <t>N925</t>
  </si>
  <si>
    <t>LAMPARA 35W MULTILED FRIA</t>
  </si>
  <si>
    <t>N926</t>
  </si>
  <si>
    <t>HISOPOS QSOFT X75U</t>
  </si>
  <si>
    <t>PALILLERO DESAFIO 12X50</t>
  </si>
  <si>
    <t>PIRO176</t>
  </si>
  <si>
    <t>PILAS DURACEL AA X12</t>
  </si>
  <si>
    <t>N771</t>
  </si>
  <si>
    <t>PILAS DURACEL AAA X12</t>
  </si>
  <si>
    <t>N772</t>
  </si>
  <si>
    <t>PILAS CANDELA AA X10</t>
  </si>
  <si>
    <t>N773</t>
  </si>
  <si>
    <t>PILAS CANDELA AAAX10</t>
  </si>
  <si>
    <t>N774</t>
  </si>
  <si>
    <t>ENCENDEDOR ALINTA X 25 U</t>
  </si>
  <si>
    <t>L-ENCENDEDORES</t>
  </si>
  <si>
    <t>ENCENDEDOR CANDELA X 25U</t>
  </si>
  <si>
    <t>ENCENDEDOR MINI CANDELA X10U</t>
  </si>
  <si>
    <t>N386</t>
  </si>
  <si>
    <t>ENCENDEDOR MAXI CANDELA X10U</t>
  </si>
  <si>
    <t>N387</t>
  </si>
  <si>
    <t>GLOBOS 9" LISO SURTIDOS X50</t>
  </si>
  <si>
    <t>GLOBOS 9" FELIZ CUMPLEAÑOS X50</t>
  </si>
  <si>
    <t>GLOBOS 9" FELIZ CUMPLEAÑOS X15</t>
  </si>
  <si>
    <t>BOLSA CAMISETA 30X40</t>
  </si>
  <si>
    <t>M-DESCARTABLE</t>
  </si>
  <si>
    <t>BOLSA CAMISETA 40X50</t>
  </si>
  <si>
    <t>ROLLO ARRANQUE RENDIDOR 15X20</t>
  </si>
  <si>
    <t>ROLLO ARRANQUE RENDIDOR 15X25</t>
  </si>
  <si>
    <t>ROLLO ARRANQUE RENDIDOR 20X30</t>
  </si>
  <si>
    <t>ROLLO ARRANQUE RENDIDOR 25X35</t>
  </si>
  <si>
    <t>ROLLO ARRANQUE RENDIDOR 30X40</t>
  </si>
  <si>
    <t>VINO TIZZOT MALBEC SUAVE 6X1125ML</t>
  </si>
  <si>
    <t>N-VINOS</t>
  </si>
  <si>
    <t>VINO TONELITO BORGEÑA 6X1125ML</t>
  </si>
  <si>
    <t>VINO AFFINITY MALBEC BONARDA 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</si>
</sst>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.0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color theme="1"/>
      <name val="Arial"/>
    </font>
    <font>
      <sz val="8.0"/>
      <color theme="1"/>
      <name val="Liberation Serif"/>
    </font>
    <font>
      <sz val="8.0"/>
      <color theme="1"/>
      <name val="Roboto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ECCE"/>
        <bgColor rgb="FFF5ECCE"/>
      </patternFill>
    </fill>
    <fill>
      <patternFill patternType="solid">
        <fgColor rgb="FF77AACC"/>
        <bgColor rgb="FF77AA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5" numFmtId="164" xfId="0" applyAlignment="1" applyBorder="1" applyFont="1" applyNumberFormat="1">
      <alignment readingOrder="0" vertical="bottom"/>
    </xf>
    <xf borderId="1" fillId="2" fontId="4" numFmtId="1" xfId="0" applyAlignment="1" applyBorder="1" applyFont="1" applyNumberFormat="1">
      <alignment horizontal="center" vertical="bottom"/>
    </xf>
    <xf borderId="1" fillId="2" fontId="4" numFmtId="164" xfId="0" applyAlignment="1" applyBorder="1" applyFont="1" applyNumberFormat="1">
      <alignment horizontal="center" vertical="bottom"/>
    </xf>
    <xf borderId="1" fillId="2" fontId="4" numFmtId="4" xfId="0" applyAlignment="1" applyBorder="1" applyFont="1" applyNumberFormat="1">
      <alignment vertical="bottom"/>
    </xf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1" fillId="2" fontId="4" numFmtId="4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3" fontId="6" numFmtId="0" xfId="0" applyAlignment="1" applyBorder="1" applyFill="1" applyFont="1">
      <alignment vertical="bottom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right" vertical="bottom"/>
    </xf>
    <xf borderId="1" fillId="2" fontId="4" numFmtId="1" xfId="0" applyAlignment="1" applyBorder="1" applyFont="1" applyNumberFormat="1">
      <alignment vertical="bottom"/>
    </xf>
    <xf borderId="1" fillId="2" fontId="4" numFmtId="164" xfId="0" applyAlignment="1" applyBorder="1" applyFont="1" applyNumberFormat="1">
      <alignment vertical="bottom"/>
    </xf>
    <xf borderId="1" fillId="4" fontId="6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0.75"/>
    <col customWidth="1" min="11" max="11" width="15.38"/>
    <col customWidth="1" min="12" max="12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>
      <c r="A2" s="4" t="s">
        <v>13</v>
      </c>
      <c r="B2" s="5"/>
      <c r="C2" s="4" t="s">
        <v>14</v>
      </c>
      <c r="D2" s="4" t="s">
        <v>15</v>
      </c>
      <c r="E2" s="6">
        <v>2370.0</v>
      </c>
      <c r="F2" s="7">
        <v>1.0</v>
      </c>
      <c r="G2" s="8">
        <f t="shared" ref="G2:G60" si="1">E2/F2</f>
        <v>2370</v>
      </c>
      <c r="H2" s="5"/>
      <c r="I2" s="5"/>
      <c r="J2" s="5"/>
      <c r="K2" s="9"/>
      <c r="L2" s="5"/>
    </row>
    <row r="3">
      <c r="A3" s="4" t="s">
        <v>16</v>
      </c>
      <c r="B3" s="5"/>
      <c r="C3" s="4" t="s">
        <v>17</v>
      </c>
      <c r="D3" s="4" t="s">
        <v>15</v>
      </c>
      <c r="E3" s="6">
        <v>2400.0</v>
      </c>
      <c r="F3" s="7">
        <v>1.0</v>
      </c>
      <c r="G3" s="8">
        <f t="shared" si="1"/>
        <v>2400</v>
      </c>
      <c r="H3" s="5"/>
      <c r="I3" s="5"/>
      <c r="J3" s="5"/>
      <c r="K3" s="9"/>
      <c r="L3" s="5"/>
    </row>
    <row r="4">
      <c r="A4" s="4" t="s">
        <v>18</v>
      </c>
      <c r="B4" s="5"/>
      <c r="C4" s="10">
        <v>443.0</v>
      </c>
      <c r="D4" s="4" t="s">
        <v>15</v>
      </c>
      <c r="E4" s="6">
        <v>2290.0</v>
      </c>
      <c r="F4" s="7">
        <v>1.0</v>
      </c>
      <c r="G4" s="8">
        <f t="shared" si="1"/>
        <v>2290</v>
      </c>
      <c r="H4" s="5"/>
      <c r="I4" s="5"/>
      <c r="J4" s="5"/>
      <c r="K4" s="9"/>
      <c r="L4" s="5"/>
    </row>
    <row r="5">
      <c r="A5" s="4" t="s">
        <v>19</v>
      </c>
      <c r="B5" s="5"/>
      <c r="C5" s="10">
        <v>185.0</v>
      </c>
      <c r="D5" s="4" t="s">
        <v>15</v>
      </c>
      <c r="E5" s="6">
        <v>6753.6</v>
      </c>
      <c r="F5" s="7">
        <v>10.0</v>
      </c>
      <c r="G5" s="8">
        <f t="shared" si="1"/>
        <v>675.36</v>
      </c>
      <c r="H5" s="5"/>
      <c r="I5" s="5"/>
      <c r="J5" s="5"/>
      <c r="K5" s="9"/>
      <c r="L5" s="11" t="s">
        <v>20</v>
      </c>
    </row>
    <row r="6">
      <c r="A6" s="4" t="s">
        <v>21</v>
      </c>
      <c r="B6" s="5"/>
      <c r="C6" s="10" t="s">
        <v>22</v>
      </c>
      <c r="D6" s="4" t="s">
        <v>15</v>
      </c>
      <c r="E6" s="6">
        <v>5360.0</v>
      </c>
      <c r="F6" s="7">
        <v>10.0</v>
      </c>
      <c r="G6" s="8">
        <f t="shared" si="1"/>
        <v>536</v>
      </c>
      <c r="H6" s="5"/>
      <c r="I6" s="5"/>
      <c r="J6" s="5"/>
      <c r="K6" s="9"/>
      <c r="L6" s="11" t="s">
        <v>20</v>
      </c>
    </row>
    <row r="7">
      <c r="A7" s="4" t="s">
        <v>23</v>
      </c>
      <c r="B7" s="5"/>
      <c r="C7" s="10" t="s">
        <v>24</v>
      </c>
      <c r="D7" s="4" t="s">
        <v>15</v>
      </c>
      <c r="E7" s="6">
        <v>10460.0</v>
      </c>
      <c r="F7" s="7">
        <v>10.0</v>
      </c>
      <c r="G7" s="8">
        <f t="shared" si="1"/>
        <v>1046</v>
      </c>
      <c r="H7" s="5" t="s">
        <v>25</v>
      </c>
      <c r="I7" s="5" t="s">
        <v>26</v>
      </c>
      <c r="J7" s="5"/>
      <c r="K7" s="12" t="str">
        <f>_xludf.IFS(H7="SI",J7/F7,H7="NO",1)</f>
        <v>#NAME?</v>
      </c>
      <c r="L7" s="11" t="s">
        <v>20</v>
      </c>
    </row>
    <row r="8">
      <c r="A8" s="13" t="s">
        <v>27</v>
      </c>
      <c r="B8" s="5"/>
      <c r="C8" s="14">
        <v>155.0</v>
      </c>
      <c r="D8" s="4" t="s">
        <v>15</v>
      </c>
      <c r="E8" s="6">
        <v>9400.0</v>
      </c>
      <c r="F8" s="7">
        <v>10.0</v>
      </c>
      <c r="G8" s="8">
        <f t="shared" si="1"/>
        <v>940</v>
      </c>
      <c r="H8" s="5"/>
      <c r="I8" s="5"/>
      <c r="J8" s="5"/>
      <c r="K8" s="9"/>
      <c r="L8" s="11" t="s">
        <v>20</v>
      </c>
    </row>
    <row r="9">
      <c r="A9" s="4" t="s">
        <v>28</v>
      </c>
      <c r="B9" s="5"/>
      <c r="C9" s="4" t="s">
        <v>29</v>
      </c>
      <c r="D9" s="4" t="s">
        <v>15</v>
      </c>
      <c r="E9" s="6">
        <v>1780.0</v>
      </c>
      <c r="F9" s="7">
        <v>1.0</v>
      </c>
      <c r="G9" s="8">
        <f t="shared" si="1"/>
        <v>1780</v>
      </c>
      <c r="H9" s="5"/>
      <c r="I9" s="5"/>
      <c r="J9" s="5"/>
      <c r="K9" s="12" t="str">
        <f t="shared" ref="K9:K13" si="2">_xludf.IFS(H9="SI",J9/F9,H9="NO",1)</f>
        <v>#NAME?</v>
      </c>
      <c r="L9" s="5"/>
    </row>
    <row r="10">
      <c r="A10" s="13" t="s">
        <v>30</v>
      </c>
      <c r="B10" s="5"/>
      <c r="C10" s="13" t="s">
        <v>31</v>
      </c>
      <c r="D10" s="4" t="s">
        <v>15</v>
      </c>
      <c r="E10" s="6">
        <v>4070.0</v>
      </c>
      <c r="F10" s="7">
        <v>20.0</v>
      </c>
      <c r="G10" s="8">
        <f t="shared" si="1"/>
        <v>203.5</v>
      </c>
      <c r="H10" s="5"/>
      <c r="I10" s="5"/>
      <c r="J10" s="5"/>
      <c r="K10" s="12" t="str">
        <f t="shared" si="2"/>
        <v>#NAME?</v>
      </c>
      <c r="L10" s="5"/>
    </row>
    <row r="11">
      <c r="A11" s="13" t="s">
        <v>32</v>
      </c>
      <c r="B11" s="5"/>
      <c r="C11" s="13" t="s">
        <v>33</v>
      </c>
      <c r="D11" s="4" t="s">
        <v>15</v>
      </c>
      <c r="E11" s="6">
        <v>6240.0</v>
      </c>
      <c r="F11" s="7">
        <v>20.0</v>
      </c>
      <c r="G11" s="8">
        <f t="shared" si="1"/>
        <v>312</v>
      </c>
      <c r="H11" s="5"/>
      <c r="I11" s="5"/>
      <c r="J11" s="5"/>
      <c r="K11" s="12" t="str">
        <f t="shared" si="2"/>
        <v>#NAME?</v>
      </c>
      <c r="L11" s="11" t="s">
        <v>20</v>
      </c>
    </row>
    <row r="12">
      <c r="A12" s="13" t="s">
        <v>34</v>
      </c>
      <c r="B12" s="5"/>
      <c r="C12" s="13" t="s">
        <v>35</v>
      </c>
      <c r="D12" s="4" t="s">
        <v>15</v>
      </c>
      <c r="E12" s="6">
        <v>4830.0</v>
      </c>
      <c r="F12" s="7">
        <v>36.0</v>
      </c>
      <c r="G12" s="8">
        <f t="shared" si="1"/>
        <v>134.1666667</v>
      </c>
      <c r="H12" s="5"/>
      <c r="I12" s="5"/>
      <c r="J12" s="5"/>
      <c r="K12" s="12" t="str">
        <f t="shared" si="2"/>
        <v>#NAME?</v>
      </c>
      <c r="L12" s="11" t="s">
        <v>20</v>
      </c>
    </row>
    <row r="13">
      <c r="A13" s="13" t="s">
        <v>36</v>
      </c>
      <c r="B13" s="5"/>
      <c r="C13" s="13" t="s">
        <v>37</v>
      </c>
      <c r="D13" s="4" t="s">
        <v>15</v>
      </c>
      <c r="E13" s="6">
        <v>5050.0</v>
      </c>
      <c r="F13" s="7">
        <v>1.0</v>
      </c>
      <c r="G13" s="8">
        <f t="shared" si="1"/>
        <v>5050</v>
      </c>
      <c r="H13" s="5"/>
      <c r="I13" s="5"/>
      <c r="J13" s="5"/>
      <c r="K13" s="12" t="str">
        <f t="shared" si="2"/>
        <v>#NAME?</v>
      </c>
      <c r="L13" s="11" t="s">
        <v>20</v>
      </c>
    </row>
    <row r="14">
      <c r="A14" s="13" t="s">
        <v>38</v>
      </c>
      <c r="B14" s="5"/>
      <c r="C14" s="13" t="s">
        <v>39</v>
      </c>
      <c r="D14" s="4" t="s">
        <v>15</v>
      </c>
      <c r="E14" s="6">
        <v>2830.0</v>
      </c>
      <c r="F14" s="7">
        <v>1.0</v>
      </c>
      <c r="G14" s="8">
        <f t="shared" si="1"/>
        <v>2830</v>
      </c>
      <c r="H14" s="5"/>
      <c r="I14" s="5"/>
      <c r="J14" s="5"/>
      <c r="K14" s="9"/>
      <c r="L14" s="5"/>
    </row>
    <row r="15">
      <c r="A15" s="4" t="s">
        <v>40</v>
      </c>
      <c r="B15" s="5"/>
      <c r="C15" s="10">
        <v>1865.0</v>
      </c>
      <c r="D15" s="4" t="s">
        <v>15</v>
      </c>
      <c r="E15" s="6">
        <v>5930.0</v>
      </c>
      <c r="F15" s="7">
        <v>1.0</v>
      </c>
      <c r="G15" s="8">
        <f t="shared" si="1"/>
        <v>5930</v>
      </c>
      <c r="H15" s="5"/>
      <c r="I15" s="5"/>
      <c r="J15" s="5"/>
      <c r="K15" s="9"/>
      <c r="L15" s="5"/>
    </row>
    <row r="16">
      <c r="A16" s="4" t="s">
        <v>41</v>
      </c>
      <c r="B16" s="5"/>
      <c r="C16" s="10">
        <v>1548.0</v>
      </c>
      <c r="D16" s="4" t="s">
        <v>15</v>
      </c>
      <c r="E16" s="6">
        <v>5930.0</v>
      </c>
      <c r="F16" s="7">
        <v>1.0</v>
      </c>
      <c r="G16" s="8">
        <f t="shared" si="1"/>
        <v>5930</v>
      </c>
      <c r="H16" s="5"/>
      <c r="I16" s="5"/>
      <c r="J16" s="5"/>
      <c r="K16" s="12" t="str">
        <f t="shared" ref="K16:K21" si="3">_xludf.IFS(H16="SI",J16/F16,H16="NO",1)</f>
        <v>#NAME?</v>
      </c>
      <c r="L16" s="11" t="s">
        <v>20</v>
      </c>
    </row>
    <row r="17">
      <c r="A17" s="13" t="s">
        <v>42</v>
      </c>
      <c r="B17" s="5"/>
      <c r="C17" s="10">
        <v>173.0</v>
      </c>
      <c r="D17" s="4" t="s">
        <v>15</v>
      </c>
      <c r="E17" s="6">
        <v>3460.0</v>
      </c>
      <c r="F17" s="7">
        <v>12.0</v>
      </c>
      <c r="G17" s="8">
        <f t="shared" si="1"/>
        <v>288.3333333</v>
      </c>
      <c r="H17" s="5" t="s">
        <v>25</v>
      </c>
      <c r="I17" s="5" t="s">
        <v>43</v>
      </c>
      <c r="J17" s="5"/>
      <c r="K17" s="12" t="str">
        <f t="shared" si="3"/>
        <v>#NAME?</v>
      </c>
      <c r="L17" s="5"/>
    </row>
    <row r="18">
      <c r="A18" s="13" t="s">
        <v>44</v>
      </c>
      <c r="B18" s="5"/>
      <c r="C18" s="14">
        <v>660.0</v>
      </c>
      <c r="D18" s="4" t="s">
        <v>15</v>
      </c>
      <c r="E18" s="6">
        <v>2230.0</v>
      </c>
      <c r="F18" s="7">
        <v>1.0</v>
      </c>
      <c r="G18" s="8">
        <f t="shared" si="1"/>
        <v>2230</v>
      </c>
      <c r="H18" s="5" t="s">
        <v>25</v>
      </c>
      <c r="I18" s="5" t="s">
        <v>43</v>
      </c>
      <c r="J18" s="5"/>
      <c r="K18" s="12" t="str">
        <f t="shared" si="3"/>
        <v>#NAME?</v>
      </c>
      <c r="L18" s="5"/>
    </row>
    <row r="19">
      <c r="A19" s="13" t="s">
        <v>45</v>
      </c>
      <c r="B19" s="5"/>
      <c r="C19" s="15" t="s">
        <v>46</v>
      </c>
      <c r="D19" s="4" t="s">
        <v>15</v>
      </c>
      <c r="E19" s="6">
        <v>2230.0</v>
      </c>
      <c r="F19" s="7">
        <v>1.0</v>
      </c>
      <c r="G19" s="8">
        <f t="shared" si="1"/>
        <v>2230</v>
      </c>
      <c r="H19" s="5" t="s">
        <v>25</v>
      </c>
      <c r="I19" s="5" t="s">
        <v>43</v>
      </c>
      <c r="J19" s="5"/>
      <c r="K19" s="12" t="str">
        <f t="shared" si="3"/>
        <v>#NAME?</v>
      </c>
      <c r="L19" s="5"/>
    </row>
    <row r="20">
      <c r="A20" s="13" t="s">
        <v>47</v>
      </c>
      <c r="B20" s="5"/>
      <c r="C20" s="14">
        <v>650.0</v>
      </c>
      <c r="D20" s="4" t="s">
        <v>15</v>
      </c>
      <c r="E20" s="6">
        <v>2230.0</v>
      </c>
      <c r="F20" s="7">
        <v>1.0</v>
      </c>
      <c r="G20" s="8">
        <f t="shared" si="1"/>
        <v>2230</v>
      </c>
      <c r="H20" s="5"/>
      <c r="I20" s="5"/>
      <c r="J20" s="5"/>
      <c r="K20" s="12" t="str">
        <f t="shared" si="3"/>
        <v>#NAME?</v>
      </c>
      <c r="L20" s="5"/>
    </row>
    <row r="21">
      <c r="A21" s="13" t="s">
        <v>48</v>
      </c>
      <c r="B21" s="5"/>
      <c r="C21" s="13">
        <v>272772.0</v>
      </c>
      <c r="D21" s="4" t="s">
        <v>15</v>
      </c>
      <c r="E21" s="6">
        <v>4190.0</v>
      </c>
      <c r="F21" s="7">
        <v>10.0</v>
      </c>
      <c r="G21" s="8">
        <f t="shared" si="1"/>
        <v>419</v>
      </c>
      <c r="H21" s="5"/>
      <c r="I21" s="5"/>
      <c r="J21" s="5"/>
      <c r="K21" s="12" t="str">
        <f t="shared" si="3"/>
        <v>#NAME?</v>
      </c>
      <c r="L21" s="11" t="s">
        <v>20</v>
      </c>
    </row>
    <row r="22">
      <c r="A22" s="4" t="s">
        <v>49</v>
      </c>
      <c r="B22" s="5"/>
      <c r="C22" s="10" t="s">
        <v>50</v>
      </c>
      <c r="D22" s="4" t="s">
        <v>15</v>
      </c>
      <c r="E22" s="6">
        <v>14616.0</v>
      </c>
      <c r="F22" s="7">
        <v>6.0</v>
      </c>
      <c r="G22" s="8">
        <f t="shared" si="1"/>
        <v>2436</v>
      </c>
      <c r="H22" s="5"/>
      <c r="I22" s="5"/>
      <c r="J22" s="5"/>
      <c r="K22" s="9"/>
      <c r="L22" s="11" t="s">
        <v>20</v>
      </c>
    </row>
    <row r="23">
      <c r="A23" s="4" t="s">
        <v>51</v>
      </c>
      <c r="B23" s="5"/>
      <c r="C23" s="10" t="s">
        <v>52</v>
      </c>
      <c r="D23" s="4" t="s">
        <v>15</v>
      </c>
      <c r="E23" s="6">
        <v>6609.41</v>
      </c>
      <c r="F23" s="7">
        <v>6.0</v>
      </c>
      <c r="G23" s="8">
        <f t="shared" si="1"/>
        <v>1101.568333</v>
      </c>
      <c r="H23" s="5"/>
      <c r="I23" s="5"/>
      <c r="J23" s="5"/>
      <c r="K23" s="9"/>
      <c r="L23" s="11" t="s">
        <v>20</v>
      </c>
    </row>
    <row r="24">
      <c r="A24" s="4" t="s">
        <v>53</v>
      </c>
      <c r="B24" s="5"/>
      <c r="C24" s="10" t="s">
        <v>54</v>
      </c>
      <c r="D24" s="4" t="s">
        <v>15</v>
      </c>
      <c r="E24" s="6">
        <v>7420.0</v>
      </c>
      <c r="F24" s="7">
        <v>6.0</v>
      </c>
      <c r="G24" s="8">
        <f t="shared" si="1"/>
        <v>1236.666667</v>
      </c>
      <c r="H24" s="5"/>
      <c r="I24" s="5"/>
      <c r="J24" s="5"/>
      <c r="K24" s="9"/>
      <c r="L24" s="5"/>
    </row>
    <row r="25">
      <c r="A25" s="4" t="s">
        <v>55</v>
      </c>
      <c r="B25" s="5"/>
      <c r="C25" s="10" t="s">
        <v>56</v>
      </c>
      <c r="D25" s="4" t="s">
        <v>15</v>
      </c>
      <c r="E25" s="6">
        <v>10000.0</v>
      </c>
      <c r="F25" s="7">
        <v>6.0</v>
      </c>
      <c r="G25" s="8">
        <f t="shared" si="1"/>
        <v>1666.666667</v>
      </c>
      <c r="H25" s="5"/>
      <c r="I25" s="5"/>
      <c r="J25" s="5"/>
      <c r="K25" s="9"/>
      <c r="L25" s="5"/>
    </row>
    <row r="26">
      <c r="A26" s="4" t="s">
        <v>57</v>
      </c>
      <c r="B26" s="5"/>
      <c r="C26" s="10" t="s">
        <v>58</v>
      </c>
      <c r="D26" s="4" t="s">
        <v>15</v>
      </c>
      <c r="E26" s="6">
        <v>12550.0</v>
      </c>
      <c r="F26" s="7">
        <v>8.0</v>
      </c>
      <c r="G26" s="8">
        <f t="shared" si="1"/>
        <v>1568.75</v>
      </c>
      <c r="H26" s="5"/>
      <c r="I26" s="5"/>
      <c r="J26" s="5"/>
      <c r="K26" s="9"/>
      <c r="L26" s="11" t="s">
        <v>20</v>
      </c>
    </row>
    <row r="27">
      <c r="A27" s="4" t="s">
        <v>59</v>
      </c>
      <c r="B27" s="5"/>
      <c r="C27" s="10">
        <v>1819.0</v>
      </c>
      <c r="D27" s="4" t="s">
        <v>15</v>
      </c>
      <c r="E27" s="6" t="e">
        <v>#REF!</v>
      </c>
      <c r="F27" s="7">
        <v>8.0</v>
      </c>
      <c r="G27" s="8" t="str">
        <f t="shared" si="1"/>
        <v>#REF!</v>
      </c>
      <c r="H27" s="5"/>
      <c r="I27" s="5"/>
      <c r="J27" s="5"/>
      <c r="K27" s="9"/>
      <c r="L27" s="11" t="s">
        <v>20</v>
      </c>
    </row>
    <row r="28">
      <c r="A28" s="13" t="s">
        <v>60</v>
      </c>
      <c r="B28" s="5"/>
      <c r="C28" s="14" t="s">
        <v>61</v>
      </c>
      <c r="D28" s="4" t="s">
        <v>15</v>
      </c>
      <c r="E28" s="6">
        <v>740.0</v>
      </c>
      <c r="F28" s="7">
        <v>1.0</v>
      </c>
      <c r="G28" s="8">
        <f t="shared" si="1"/>
        <v>740</v>
      </c>
      <c r="H28" s="5" t="s">
        <v>62</v>
      </c>
      <c r="I28" s="5" t="s">
        <v>26</v>
      </c>
      <c r="J28" s="5"/>
      <c r="K28" s="12" t="str">
        <f t="shared" ref="K28:K31" si="4">_xludf.IFS(H28="SI",J28/F28,H28="NO",1)</f>
        <v>#NAME?</v>
      </c>
      <c r="L28" s="5"/>
    </row>
    <row r="29">
      <c r="A29" s="13" t="s">
        <v>63</v>
      </c>
      <c r="B29" s="5"/>
      <c r="C29" s="14">
        <v>160.0</v>
      </c>
      <c r="D29" s="4" t="s">
        <v>15</v>
      </c>
      <c r="E29" s="6">
        <v>1001.41</v>
      </c>
      <c r="F29" s="7">
        <v>1.0</v>
      </c>
      <c r="G29" s="8">
        <f t="shared" si="1"/>
        <v>1001.41</v>
      </c>
      <c r="H29" s="5" t="s">
        <v>25</v>
      </c>
      <c r="I29" s="5" t="s">
        <v>26</v>
      </c>
      <c r="J29" s="5"/>
      <c r="K29" s="12" t="str">
        <f t="shared" si="4"/>
        <v>#NAME?</v>
      </c>
      <c r="L29" s="5"/>
    </row>
    <row r="30">
      <c r="A30" s="13" t="s">
        <v>64</v>
      </c>
      <c r="B30" s="5"/>
      <c r="C30" s="14">
        <v>195.0</v>
      </c>
      <c r="D30" s="4" t="s">
        <v>15</v>
      </c>
      <c r="E30" s="6">
        <v>7000.0</v>
      </c>
      <c r="F30" s="7">
        <v>10.0</v>
      </c>
      <c r="G30" s="8">
        <f t="shared" si="1"/>
        <v>700</v>
      </c>
      <c r="H30" s="5" t="s">
        <v>25</v>
      </c>
      <c r="I30" s="5" t="s">
        <v>26</v>
      </c>
      <c r="J30" s="5"/>
      <c r="K30" s="12" t="str">
        <f t="shared" si="4"/>
        <v>#NAME?</v>
      </c>
      <c r="L30" s="11" t="s">
        <v>20</v>
      </c>
    </row>
    <row r="31">
      <c r="A31" s="13" t="s">
        <v>65</v>
      </c>
      <c r="B31" s="5"/>
      <c r="C31" s="14">
        <v>196.0</v>
      </c>
      <c r="D31" s="4" t="s">
        <v>15</v>
      </c>
      <c r="E31" s="6">
        <v>9520.0</v>
      </c>
      <c r="F31" s="7">
        <v>10.0</v>
      </c>
      <c r="G31" s="8">
        <f t="shared" si="1"/>
        <v>952</v>
      </c>
      <c r="H31" s="5" t="s">
        <v>25</v>
      </c>
      <c r="I31" s="5" t="s">
        <v>26</v>
      </c>
      <c r="J31" s="5"/>
      <c r="K31" s="12" t="str">
        <f t="shared" si="4"/>
        <v>#NAME?</v>
      </c>
      <c r="L31" s="11" t="s">
        <v>20</v>
      </c>
    </row>
    <row r="32">
      <c r="A32" s="13" t="s">
        <v>66</v>
      </c>
      <c r="B32" s="5"/>
      <c r="C32" s="14">
        <v>182.0</v>
      </c>
      <c r="D32" s="4" t="s">
        <v>15</v>
      </c>
      <c r="E32" s="6">
        <v>10820.0</v>
      </c>
      <c r="F32" s="7">
        <v>10.0</v>
      </c>
      <c r="G32" s="8">
        <f t="shared" si="1"/>
        <v>1082</v>
      </c>
      <c r="H32" s="5"/>
      <c r="I32" s="5"/>
      <c r="J32" s="5"/>
      <c r="K32" s="9"/>
      <c r="L32" s="11" t="s">
        <v>20</v>
      </c>
    </row>
    <row r="33">
      <c r="A33" s="4" t="s">
        <v>67</v>
      </c>
      <c r="B33" s="5"/>
      <c r="C33" s="10" t="s">
        <v>68</v>
      </c>
      <c r="D33" s="4" t="s">
        <v>15</v>
      </c>
      <c r="E33" s="6">
        <v>9530.0</v>
      </c>
      <c r="F33" s="7">
        <v>10.0</v>
      </c>
      <c r="G33" s="8">
        <f t="shared" si="1"/>
        <v>953</v>
      </c>
      <c r="H33" s="5"/>
      <c r="I33" s="5"/>
      <c r="J33" s="5"/>
      <c r="K33" s="9"/>
      <c r="L33" s="11" t="s">
        <v>20</v>
      </c>
    </row>
    <row r="34">
      <c r="A34" s="4" t="s">
        <v>69</v>
      </c>
      <c r="B34" s="5"/>
      <c r="C34" s="10" t="s">
        <v>70</v>
      </c>
      <c r="D34" s="4" t="s">
        <v>15</v>
      </c>
      <c r="E34" s="6">
        <v>4080.0</v>
      </c>
      <c r="F34" s="7">
        <v>12.0</v>
      </c>
      <c r="G34" s="8">
        <f t="shared" si="1"/>
        <v>340</v>
      </c>
      <c r="H34" s="5"/>
      <c r="I34" s="5"/>
      <c r="J34" s="5"/>
      <c r="K34" s="9"/>
      <c r="L34" s="5"/>
    </row>
    <row r="35">
      <c r="A35" s="4" t="s">
        <v>71</v>
      </c>
      <c r="B35" s="5"/>
      <c r="C35" s="10" t="s">
        <v>72</v>
      </c>
      <c r="D35" s="4" t="s">
        <v>15</v>
      </c>
      <c r="E35" s="6">
        <v>620.0</v>
      </c>
      <c r="F35" s="7">
        <v>1.0</v>
      </c>
      <c r="G35" s="8">
        <f t="shared" si="1"/>
        <v>620</v>
      </c>
      <c r="H35" s="5"/>
      <c r="I35" s="5"/>
      <c r="J35" s="5"/>
      <c r="K35" s="9"/>
      <c r="L35" s="5"/>
    </row>
    <row r="36">
      <c r="A36" s="4" t="s">
        <v>73</v>
      </c>
      <c r="B36" s="5"/>
      <c r="C36" s="10" t="s">
        <v>74</v>
      </c>
      <c r="D36" s="4" t="s">
        <v>15</v>
      </c>
      <c r="E36" s="6">
        <v>6500.0</v>
      </c>
      <c r="F36" s="7">
        <v>8.0</v>
      </c>
      <c r="G36" s="8">
        <f t="shared" si="1"/>
        <v>812.5</v>
      </c>
      <c r="H36" s="5"/>
      <c r="I36" s="5"/>
      <c r="J36" s="5"/>
      <c r="K36" s="9"/>
      <c r="L36" s="11" t="s">
        <v>20</v>
      </c>
    </row>
    <row r="37">
      <c r="A37" s="4" t="s">
        <v>75</v>
      </c>
      <c r="B37" s="5"/>
      <c r="C37" s="10">
        <v>452.0</v>
      </c>
      <c r="D37" s="4" t="s">
        <v>15</v>
      </c>
      <c r="E37" s="6">
        <v>5040.25</v>
      </c>
      <c r="F37" s="7">
        <v>18.0</v>
      </c>
      <c r="G37" s="8">
        <f t="shared" si="1"/>
        <v>280.0138889</v>
      </c>
      <c r="H37" s="5"/>
      <c r="I37" s="5"/>
      <c r="J37" s="5"/>
      <c r="K37" s="9"/>
      <c r="L37" s="11" t="s">
        <v>20</v>
      </c>
    </row>
    <row r="38">
      <c r="A38" s="4" t="s">
        <v>76</v>
      </c>
      <c r="B38" s="5"/>
      <c r="C38" s="10">
        <v>12756.0</v>
      </c>
      <c r="D38" s="4" t="s">
        <v>15</v>
      </c>
      <c r="E38" s="6">
        <v>6500.0</v>
      </c>
      <c r="F38" s="7">
        <v>8.0</v>
      </c>
      <c r="G38" s="8">
        <f t="shared" si="1"/>
        <v>812.5</v>
      </c>
      <c r="H38" s="5"/>
      <c r="I38" s="5"/>
      <c r="J38" s="5"/>
      <c r="K38" s="9"/>
      <c r="L38" s="11" t="s">
        <v>20</v>
      </c>
    </row>
    <row r="39">
      <c r="A39" s="4" t="s">
        <v>77</v>
      </c>
      <c r="B39" s="5"/>
      <c r="C39" s="10">
        <v>189.0</v>
      </c>
      <c r="D39" s="4" t="s">
        <v>15</v>
      </c>
      <c r="E39" s="6">
        <v>7008.0</v>
      </c>
      <c r="F39" s="7">
        <v>12.0</v>
      </c>
      <c r="G39" s="8">
        <f t="shared" si="1"/>
        <v>584</v>
      </c>
      <c r="H39" s="5" t="s">
        <v>25</v>
      </c>
      <c r="I39" s="5" t="s">
        <v>26</v>
      </c>
      <c r="J39" s="5"/>
      <c r="K39" s="12" t="str">
        <f>_xludf.IFS(H39="SI",J39/F39,H39="NO",1)</f>
        <v>#NAME?</v>
      </c>
      <c r="L39" s="11" t="s">
        <v>20</v>
      </c>
    </row>
    <row r="40">
      <c r="A40" s="4" t="s">
        <v>78</v>
      </c>
      <c r="B40" s="5"/>
      <c r="C40" s="10">
        <v>10200.0</v>
      </c>
      <c r="D40" s="4" t="s">
        <v>15</v>
      </c>
      <c r="E40" s="6">
        <v>8158.8</v>
      </c>
      <c r="F40" s="7">
        <v>12.0</v>
      </c>
      <c r="G40" s="8">
        <f t="shared" si="1"/>
        <v>679.9</v>
      </c>
      <c r="H40" s="5"/>
      <c r="I40" s="5"/>
      <c r="J40" s="5"/>
      <c r="K40" s="9"/>
      <c r="L40" s="11" t="s">
        <v>20</v>
      </c>
    </row>
    <row r="41">
      <c r="A41" s="13" t="s">
        <v>79</v>
      </c>
      <c r="B41" s="5"/>
      <c r="C41" s="14">
        <v>156.0</v>
      </c>
      <c r="D41" s="4" t="s">
        <v>15</v>
      </c>
      <c r="E41" s="6">
        <v>9388.96</v>
      </c>
      <c r="F41" s="7">
        <v>12.0</v>
      </c>
      <c r="G41" s="8">
        <f t="shared" si="1"/>
        <v>782.4133333</v>
      </c>
      <c r="H41" s="5" t="s">
        <v>25</v>
      </c>
      <c r="I41" s="5" t="s">
        <v>26</v>
      </c>
      <c r="J41" s="5"/>
      <c r="K41" s="12" t="str">
        <f t="shared" ref="K41:K42" si="5">_xludf.IFS(H41="SI",J41/F41,H41="NO",1)</f>
        <v>#NAME?</v>
      </c>
      <c r="L41" s="11" t="s">
        <v>20</v>
      </c>
    </row>
    <row r="42">
      <c r="A42" s="13" t="s">
        <v>80</v>
      </c>
      <c r="B42" s="5"/>
      <c r="C42" s="14">
        <v>157.0</v>
      </c>
      <c r="D42" s="4" t="s">
        <v>15</v>
      </c>
      <c r="E42" s="6">
        <v>8243.19</v>
      </c>
      <c r="F42" s="7">
        <v>18.0</v>
      </c>
      <c r="G42" s="8">
        <f t="shared" si="1"/>
        <v>457.955</v>
      </c>
      <c r="H42" s="5" t="s">
        <v>25</v>
      </c>
      <c r="I42" s="5" t="s">
        <v>26</v>
      </c>
      <c r="J42" s="5"/>
      <c r="K42" s="12" t="str">
        <f t="shared" si="5"/>
        <v>#NAME?</v>
      </c>
      <c r="L42" s="11" t="s">
        <v>20</v>
      </c>
    </row>
    <row r="43">
      <c r="A43" s="13" t="s">
        <v>81</v>
      </c>
      <c r="B43" s="5"/>
      <c r="C43" s="14">
        <v>191.0</v>
      </c>
      <c r="D43" s="4" t="s">
        <v>15</v>
      </c>
      <c r="E43" s="6">
        <v>11669.9</v>
      </c>
      <c r="F43" s="7">
        <v>8.0</v>
      </c>
      <c r="G43" s="8">
        <f t="shared" si="1"/>
        <v>1458.7375</v>
      </c>
      <c r="H43" s="5"/>
      <c r="I43" s="5"/>
      <c r="J43" s="5"/>
      <c r="K43" s="9"/>
      <c r="L43" s="11" t="s">
        <v>20</v>
      </c>
    </row>
    <row r="44">
      <c r="A44" s="16" t="s">
        <v>82</v>
      </c>
      <c r="B44" s="5"/>
      <c r="C44" s="17" t="s">
        <v>83</v>
      </c>
      <c r="D44" s="4" t="s">
        <v>15</v>
      </c>
      <c r="E44" s="6">
        <v>444.0</v>
      </c>
      <c r="F44" s="7">
        <v>1.0</v>
      </c>
      <c r="G44" s="8">
        <f t="shared" si="1"/>
        <v>444</v>
      </c>
      <c r="H44" s="5"/>
      <c r="I44" s="5"/>
      <c r="J44" s="5"/>
      <c r="K44" s="9"/>
      <c r="L44" s="11" t="s">
        <v>20</v>
      </c>
    </row>
    <row r="45">
      <c r="A45" s="16" t="s">
        <v>84</v>
      </c>
      <c r="B45" s="5"/>
      <c r="C45" s="17" t="s">
        <v>85</v>
      </c>
      <c r="D45" s="4" t="s">
        <v>15</v>
      </c>
      <c r="E45" s="6">
        <v>769.0</v>
      </c>
      <c r="F45" s="7">
        <v>1.0</v>
      </c>
      <c r="G45" s="8">
        <f t="shared" si="1"/>
        <v>769</v>
      </c>
      <c r="H45" s="5"/>
      <c r="I45" s="5"/>
      <c r="J45" s="5"/>
      <c r="K45" s="9"/>
      <c r="L45" s="11" t="s">
        <v>20</v>
      </c>
    </row>
    <row r="46">
      <c r="A46" s="16" t="s">
        <v>86</v>
      </c>
      <c r="B46" s="5"/>
      <c r="C46" s="17" t="s">
        <v>87</v>
      </c>
      <c r="D46" s="4" t="s">
        <v>15</v>
      </c>
      <c r="E46" s="6">
        <v>750.0</v>
      </c>
      <c r="F46" s="7">
        <v>1.0</v>
      </c>
      <c r="G46" s="8">
        <f t="shared" si="1"/>
        <v>750</v>
      </c>
      <c r="H46" s="5"/>
      <c r="I46" s="5"/>
      <c r="J46" s="5"/>
      <c r="K46" s="12" t="str">
        <f t="shared" ref="K46:K50" si="6">_xludf.IFS(H46="SI",J46/F46,H46="NO",1)</f>
        <v>#NAME?</v>
      </c>
      <c r="L46" s="11" t="s">
        <v>20</v>
      </c>
    </row>
    <row r="47">
      <c r="A47" s="16" t="s">
        <v>88</v>
      </c>
      <c r="B47" s="5"/>
      <c r="C47" s="17" t="s">
        <v>89</v>
      </c>
      <c r="D47" s="4" t="s">
        <v>15</v>
      </c>
      <c r="E47" s="6">
        <v>9450.0</v>
      </c>
      <c r="F47" s="7">
        <v>15.0</v>
      </c>
      <c r="G47" s="8">
        <f t="shared" si="1"/>
        <v>630</v>
      </c>
      <c r="H47" s="5"/>
      <c r="I47" s="5"/>
      <c r="J47" s="5"/>
      <c r="K47" s="12" t="str">
        <f t="shared" si="6"/>
        <v>#NAME?</v>
      </c>
      <c r="L47" s="11" t="s">
        <v>20</v>
      </c>
    </row>
    <row r="48">
      <c r="A48" s="13" t="s">
        <v>90</v>
      </c>
      <c r="B48" s="5"/>
      <c r="C48" s="13" t="s">
        <v>91</v>
      </c>
      <c r="D48" s="4" t="s">
        <v>15</v>
      </c>
      <c r="E48" s="6">
        <v>810.0</v>
      </c>
      <c r="F48" s="7">
        <v>1.0</v>
      </c>
      <c r="G48" s="8">
        <f t="shared" si="1"/>
        <v>810</v>
      </c>
      <c r="H48" s="5" t="s">
        <v>62</v>
      </c>
      <c r="I48" s="5" t="s">
        <v>26</v>
      </c>
      <c r="J48" s="5"/>
      <c r="K48" s="12" t="str">
        <f t="shared" si="6"/>
        <v>#NAME?</v>
      </c>
      <c r="L48" s="11" t="s">
        <v>20</v>
      </c>
    </row>
    <row r="49">
      <c r="A49" s="13" t="s">
        <v>92</v>
      </c>
      <c r="B49" s="5"/>
      <c r="C49" s="14">
        <v>154.0</v>
      </c>
      <c r="D49" s="4" t="s">
        <v>15</v>
      </c>
      <c r="E49" s="6">
        <v>1620.0</v>
      </c>
      <c r="F49" s="7">
        <v>1.0</v>
      </c>
      <c r="G49" s="8">
        <f t="shared" si="1"/>
        <v>1620</v>
      </c>
      <c r="H49" s="5"/>
      <c r="I49" s="5"/>
      <c r="J49" s="5"/>
      <c r="K49" s="12" t="str">
        <f t="shared" si="6"/>
        <v>#NAME?</v>
      </c>
      <c r="L49" s="5"/>
    </row>
    <row r="50">
      <c r="A50" s="16" t="s">
        <v>93</v>
      </c>
      <c r="B50" s="5"/>
      <c r="C50" s="17" t="s">
        <v>94</v>
      </c>
      <c r="D50" s="4" t="s">
        <v>95</v>
      </c>
      <c r="E50" s="6">
        <v>9200.0</v>
      </c>
      <c r="F50" s="7">
        <v>8.0</v>
      </c>
      <c r="G50" s="8">
        <f t="shared" si="1"/>
        <v>1150</v>
      </c>
      <c r="H50" s="5"/>
      <c r="I50" s="5"/>
      <c r="J50" s="5"/>
      <c r="K50" s="12" t="str">
        <f t="shared" si="6"/>
        <v>#NAME?</v>
      </c>
      <c r="L50" s="11" t="s">
        <v>20</v>
      </c>
    </row>
    <row r="51">
      <c r="A51" s="16" t="s">
        <v>96</v>
      </c>
      <c r="B51" s="5"/>
      <c r="C51" s="17" t="s">
        <v>97</v>
      </c>
      <c r="D51" s="4" t="s">
        <v>95</v>
      </c>
      <c r="E51" s="6">
        <v>9450.0</v>
      </c>
      <c r="F51" s="7">
        <v>12.0</v>
      </c>
      <c r="G51" s="8">
        <f t="shared" si="1"/>
        <v>787.5</v>
      </c>
      <c r="H51" s="5"/>
      <c r="I51" s="5"/>
      <c r="J51" s="5"/>
      <c r="K51" s="9"/>
      <c r="L51" s="5" t="s">
        <v>20</v>
      </c>
    </row>
    <row r="52">
      <c r="A52" s="4" t="s">
        <v>98</v>
      </c>
      <c r="B52" s="5"/>
      <c r="C52" s="10" t="s">
        <v>99</v>
      </c>
      <c r="D52" s="4" t="s">
        <v>95</v>
      </c>
      <c r="E52" s="6">
        <v>11400.0</v>
      </c>
      <c r="F52" s="7">
        <v>12.0</v>
      </c>
      <c r="G52" s="8">
        <f t="shared" si="1"/>
        <v>950</v>
      </c>
      <c r="H52" s="5" t="s">
        <v>25</v>
      </c>
      <c r="I52" s="5" t="s">
        <v>26</v>
      </c>
      <c r="J52" s="18">
        <v>2844.0</v>
      </c>
      <c r="K52" s="12" t="str">
        <f t="shared" ref="K52:K54" si="7">_xludf.IFS(H52="SI",J52/F52,H52="NO",1)</f>
        <v>#NAME?</v>
      </c>
      <c r="L52" s="5"/>
    </row>
    <row r="53">
      <c r="A53" s="13" t="s">
        <v>100</v>
      </c>
      <c r="B53" s="5"/>
      <c r="C53" s="10">
        <v>1951.0</v>
      </c>
      <c r="D53" s="4" t="s">
        <v>101</v>
      </c>
      <c r="E53" s="6" t="e">
        <v>#REF!</v>
      </c>
      <c r="F53" s="7">
        <v>24.0</v>
      </c>
      <c r="G53" s="8" t="str">
        <f t="shared" si="1"/>
        <v>#REF!</v>
      </c>
      <c r="H53" s="5" t="s">
        <v>25</v>
      </c>
      <c r="I53" s="5" t="s">
        <v>26</v>
      </c>
      <c r="J53" s="18">
        <v>2360.0</v>
      </c>
      <c r="K53" s="12" t="str">
        <f t="shared" si="7"/>
        <v>#NAME?</v>
      </c>
      <c r="L53" s="5"/>
    </row>
    <row r="54">
      <c r="A54" s="13" t="s">
        <v>102</v>
      </c>
      <c r="B54" s="5"/>
      <c r="C54" s="14">
        <v>1950.0</v>
      </c>
      <c r="D54" s="4" t="s">
        <v>101</v>
      </c>
      <c r="E54" s="6" t="e">
        <v>#REF!</v>
      </c>
      <c r="F54" s="7">
        <v>20.0</v>
      </c>
      <c r="G54" s="8" t="str">
        <f t="shared" si="1"/>
        <v>#REF!</v>
      </c>
      <c r="H54" s="5"/>
      <c r="I54" s="5"/>
      <c r="J54" s="5"/>
      <c r="K54" s="12" t="str">
        <f t="shared" si="7"/>
        <v>#NAME?</v>
      </c>
      <c r="L54" s="5"/>
    </row>
    <row r="55">
      <c r="A55" s="4" t="s">
        <v>103</v>
      </c>
      <c r="B55" s="5"/>
      <c r="C55" s="10" t="s">
        <v>104</v>
      </c>
      <c r="D55" s="4" t="s">
        <v>105</v>
      </c>
      <c r="E55" s="6">
        <v>1090.0</v>
      </c>
      <c r="F55" s="7">
        <v>1.0</v>
      </c>
      <c r="G55" s="8">
        <f t="shared" si="1"/>
        <v>1090</v>
      </c>
      <c r="H55" s="5"/>
      <c r="I55" s="5"/>
      <c r="J55" s="5"/>
      <c r="K55" s="9"/>
      <c r="L55" s="5"/>
    </row>
    <row r="56">
      <c r="A56" s="4" t="s">
        <v>106</v>
      </c>
      <c r="B56" s="5"/>
      <c r="C56" s="10" t="s">
        <v>107</v>
      </c>
      <c r="D56" s="4" t="s">
        <v>105</v>
      </c>
      <c r="E56" s="6">
        <v>1090.0</v>
      </c>
      <c r="F56" s="7">
        <v>1.0</v>
      </c>
      <c r="G56" s="8">
        <f t="shared" si="1"/>
        <v>1090</v>
      </c>
      <c r="H56" s="5" t="s">
        <v>25</v>
      </c>
      <c r="I56" s="5" t="s">
        <v>26</v>
      </c>
      <c r="J56" s="5"/>
      <c r="K56" s="12" t="str">
        <f>_xludf.IFS(H56="SI",J56/F56,H56="NO",1)</f>
        <v>#NAME?</v>
      </c>
      <c r="L56" s="5"/>
    </row>
    <row r="57">
      <c r="A57" s="4" t="s">
        <v>108</v>
      </c>
      <c r="B57" s="5"/>
      <c r="C57" s="10" t="s">
        <v>109</v>
      </c>
      <c r="D57" s="4" t="s">
        <v>105</v>
      </c>
      <c r="E57" s="6">
        <v>1690.0</v>
      </c>
      <c r="F57" s="7">
        <v>1.0</v>
      </c>
      <c r="G57" s="8">
        <f t="shared" si="1"/>
        <v>1690</v>
      </c>
      <c r="H57" s="5"/>
      <c r="I57" s="5"/>
      <c r="J57" s="5"/>
      <c r="K57" s="9"/>
      <c r="L57" s="5"/>
    </row>
    <row r="58">
      <c r="A58" s="4" t="s">
        <v>110</v>
      </c>
      <c r="B58" s="5"/>
      <c r="C58" s="10" t="s">
        <v>111</v>
      </c>
      <c r="D58" s="4" t="s">
        <v>105</v>
      </c>
      <c r="E58" s="6">
        <v>2030.0</v>
      </c>
      <c r="F58" s="7">
        <v>1.0</v>
      </c>
      <c r="G58" s="8">
        <f t="shared" si="1"/>
        <v>2030</v>
      </c>
      <c r="H58" s="5"/>
      <c r="I58" s="5"/>
      <c r="J58" s="5"/>
      <c r="K58" s="9"/>
      <c r="L58" s="5"/>
    </row>
    <row r="59">
      <c r="A59" s="4" t="s">
        <v>112</v>
      </c>
      <c r="B59" s="5"/>
      <c r="C59" s="4" t="s">
        <v>113</v>
      </c>
      <c r="D59" s="4" t="s">
        <v>105</v>
      </c>
      <c r="E59" s="6">
        <v>3640.0</v>
      </c>
      <c r="F59" s="7">
        <v>1.0</v>
      </c>
      <c r="G59" s="8">
        <f t="shared" si="1"/>
        <v>3640</v>
      </c>
      <c r="H59" s="5"/>
      <c r="I59" s="5"/>
      <c r="J59" s="5"/>
      <c r="K59" s="9"/>
      <c r="L59" s="5"/>
    </row>
    <row r="60">
      <c r="A60" s="4" t="s">
        <v>114</v>
      </c>
      <c r="B60" s="5"/>
      <c r="C60" s="4" t="s">
        <v>115</v>
      </c>
      <c r="D60" s="4" t="s">
        <v>105</v>
      </c>
      <c r="E60" s="6">
        <v>3640.0</v>
      </c>
      <c r="F60" s="7">
        <v>1.0</v>
      </c>
      <c r="G60" s="8">
        <f t="shared" si="1"/>
        <v>3640</v>
      </c>
      <c r="H60" s="5"/>
      <c r="I60" s="5"/>
      <c r="J60" s="5"/>
      <c r="K60" s="9"/>
      <c r="L60" s="5"/>
    </row>
    <row r="61">
      <c r="A61" s="4" t="s">
        <v>116</v>
      </c>
      <c r="B61" s="5"/>
      <c r="C61" s="10" t="s">
        <v>117</v>
      </c>
      <c r="D61" s="4" t="s">
        <v>105</v>
      </c>
      <c r="E61" s="6">
        <v>4580.0</v>
      </c>
      <c r="F61" s="19"/>
      <c r="G61" s="20"/>
      <c r="H61" s="5"/>
      <c r="I61" s="5"/>
      <c r="J61" s="5"/>
      <c r="K61" s="9"/>
      <c r="L61" s="5"/>
    </row>
    <row r="62">
      <c r="A62" s="4" t="s">
        <v>118</v>
      </c>
      <c r="B62" s="5"/>
      <c r="C62" s="10" t="s">
        <v>119</v>
      </c>
      <c r="D62" s="4" t="s">
        <v>105</v>
      </c>
      <c r="E62" s="6">
        <v>1422.5</v>
      </c>
      <c r="F62" s="7">
        <v>1.0</v>
      </c>
      <c r="G62" s="8">
        <f t="shared" ref="G62:G94" si="8">E62/F62</f>
        <v>1422.5</v>
      </c>
      <c r="H62" s="5"/>
      <c r="I62" s="5"/>
      <c r="J62" s="5"/>
      <c r="K62" s="9"/>
      <c r="L62" s="5"/>
    </row>
    <row r="63">
      <c r="A63" s="4" t="s">
        <v>120</v>
      </c>
      <c r="B63" s="5"/>
      <c r="C63" s="10">
        <v>126382.0</v>
      </c>
      <c r="D63" s="4" t="s">
        <v>105</v>
      </c>
      <c r="E63" s="6">
        <v>1540.0</v>
      </c>
      <c r="F63" s="7">
        <v>1.0</v>
      </c>
      <c r="G63" s="8">
        <f t="shared" si="8"/>
        <v>1540</v>
      </c>
      <c r="H63" s="5"/>
      <c r="I63" s="5"/>
      <c r="J63" s="5"/>
      <c r="K63" s="9"/>
      <c r="L63" s="5"/>
    </row>
    <row r="64">
      <c r="A64" s="4" t="s">
        <v>121</v>
      </c>
      <c r="B64" s="5"/>
      <c r="C64" s="10" t="s">
        <v>122</v>
      </c>
      <c r="D64" s="4" t="s">
        <v>105</v>
      </c>
      <c r="E64" s="6">
        <v>960.0</v>
      </c>
      <c r="F64" s="7">
        <v>1.0</v>
      </c>
      <c r="G64" s="8">
        <f t="shared" si="8"/>
        <v>960</v>
      </c>
      <c r="H64" s="5"/>
      <c r="I64" s="5"/>
      <c r="J64" s="5"/>
      <c r="K64" s="9"/>
      <c r="L64" s="5"/>
    </row>
    <row r="65">
      <c r="A65" s="4" t="s">
        <v>123</v>
      </c>
      <c r="B65" s="5"/>
      <c r="C65" s="10" t="s">
        <v>124</v>
      </c>
      <c r="D65" s="4" t="s">
        <v>105</v>
      </c>
      <c r="E65" s="6">
        <v>882.0</v>
      </c>
      <c r="F65" s="7">
        <v>1.0</v>
      </c>
      <c r="G65" s="8">
        <f t="shared" si="8"/>
        <v>882</v>
      </c>
      <c r="H65" s="5"/>
      <c r="I65" s="5"/>
      <c r="J65" s="5"/>
      <c r="K65" s="9"/>
      <c r="L65" s="5"/>
    </row>
    <row r="66">
      <c r="A66" s="13" t="s">
        <v>125</v>
      </c>
      <c r="B66" s="5"/>
      <c r="C66" s="10" t="s">
        <v>126</v>
      </c>
      <c r="D66" s="4" t="s">
        <v>127</v>
      </c>
      <c r="E66" s="6">
        <v>4440.0</v>
      </c>
      <c r="F66" s="7">
        <v>10.0</v>
      </c>
      <c r="G66" s="8">
        <f t="shared" si="8"/>
        <v>444</v>
      </c>
      <c r="H66" s="5" t="s">
        <v>25</v>
      </c>
      <c r="I66" s="5" t="s">
        <v>128</v>
      </c>
      <c r="J66" s="18">
        <v>9.0</v>
      </c>
      <c r="K66" s="12" t="str">
        <f>_xludf.IFS(H66="SI",J66/F66,H66="NO",1)</f>
        <v>#NAME?</v>
      </c>
      <c r="L66" s="11" t="s">
        <v>20</v>
      </c>
    </row>
    <row r="67">
      <c r="A67" s="4" t="s">
        <v>129</v>
      </c>
      <c r="B67" s="5"/>
      <c r="C67" s="10" t="s">
        <v>130</v>
      </c>
      <c r="D67" s="4" t="s">
        <v>127</v>
      </c>
      <c r="E67" s="6">
        <v>4160.0</v>
      </c>
      <c r="F67" s="7">
        <v>1.0</v>
      </c>
      <c r="G67" s="8">
        <f t="shared" si="8"/>
        <v>4160</v>
      </c>
      <c r="H67" s="5"/>
      <c r="I67" s="5"/>
      <c r="J67" s="5"/>
      <c r="K67" s="9"/>
      <c r="L67" s="5"/>
    </row>
    <row r="68">
      <c r="A68" s="4" t="s">
        <v>131</v>
      </c>
      <c r="B68" s="5"/>
      <c r="C68" s="10" t="s">
        <v>130</v>
      </c>
      <c r="D68" s="4" t="s">
        <v>127</v>
      </c>
      <c r="E68" s="6">
        <v>4160.0</v>
      </c>
      <c r="F68" s="7">
        <v>1.0</v>
      </c>
      <c r="G68" s="8">
        <f t="shared" si="8"/>
        <v>4160</v>
      </c>
      <c r="H68" s="5"/>
      <c r="I68" s="5"/>
      <c r="J68" s="5"/>
      <c r="K68" s="9"/>
      <c r="L68" s="5"/>
    </row>
    <row r="69">
      <c r="A69" s="4" t="s">
        <v>132</v>
      </c>
      <c r="B69" s="5"/>
      <c r="C69" s="10">
        <v>1414.0</v>
      </c>
      <c r="D69" s="4" t="s">
        <v>127</v>
      </c>
      <c r="E69" s="6">
        <v>3650.0</v>
      </c>
      <c r="F69" s="7">
        <v>1.0</v>
      </c>
      <c r="G69" s="8">
        <f t="shared" si="8"/>
        <v>3650</v>
      </c>
      <c r="H69" s="5"/>
      <c r="I69" s="5"/>
      <c r="J69" s="5"/>
      <c r="K69" s="9"/>
      <c r="L69" s="5"/>
    </row>
    <row r="70">
      <c r="A70" s="21" t="s">
        <v>133</v>
      </c>
      <c r="B70" s="5"/>
      <c r="C70" s="10" t="s">
        <v>134</v>
      </c>
      <c r="D70" s="4" t="s">
        <v>127</v>
      </c>
      <c r="E70" s="6">
        <v>7260.0</v>
      </c>
      <c r="F70" s="7">
        <v>1.0</v>
      </c>
      <c r="G70" s="8">
        <f t="shared" si="8"/>
        <v>7260</v>
      </c>
      <c r="H70" s="5"/>
      <c r="I70" s="5"/>
      <c r="J70" s="5"/>
      <c r="K70" s="9"/>
      <c r="L70" s="5"/>
    </row>
    <row r="71">
      <c r="A71" s="13" t="s">
        <v>135</v>
      </c>
      <c r="B71" s="5"/>
      <c r="C71" s="14">
        <v>562.0</v>
      </c>
      <c r="D71" s="4" t="s">
        <v>136</v>
      </c>
      <c r="E71" s="6">
        <v>13791.7</v>
      </c>
      <c r="F71" s="7">
        <v>6.0</v>
      </c>
      <c r="G71" s="8">
        <f t="shared" si="8"/>
        <v>2298.616667</v>
      </c>
      <c r="H71" s="5" t="s">
        <v>25</v>
      </c>
      <c r="I71" s="5" t="s">
        <v>128</v>
      </c>
      <c r="J71" s="18">
        <v>9.0</v>
      </c>
      <c r="K71" s="12" t="str">
        <f t="shared" ref="K71:K88" si="9">_xludf.IFS(H71="SI",J71/F71,H71="NO",1)</f>
        <v>#NAME?</v>
      </c>
      <c r="L71" s="11" t="s">
        <v>20</v>
      </c>
    </row>
    <row r="72">
      <c r="A72" s="13" t="s">
        <v>137</v>
      </c>
      <c r="B72" s="5"/>
      <c r="C72" s="14">
        <v>566.0</v>
      </c>
      <c r="D72" s="4" t="s">
        <v>136</v>
      </c>
      <c r="E72" s="6">
        <v>9198.0</v>
      </c>
      <c r="F72" s="7">
        <v>6.0</v>
      </c>
      <c r="G72" s="8">
        <f t="shared" si="8"/>
        <v>1533</v>
      </c>
      <c r="H72" s="5" t="s">
        <v>25</v>
      </c>
      <c r="I72" s="5" t="s">
        <v>128</v>
      </c>
      <c r="J72" s="18">
        <v>9.0</v>
      </c>
      <c r="K72" s="12" t="str">
        <f t="shared" si="9"/>
        <v>#NAME?</v>
      </c>
      <c r="L72" s="11" t="s">
        <v>20</v>
      </c>
    </row>
    <row r="73">
      <c r="A73" s="13" t="s">
        <v>138</v>
      </c>
      <c r="B73" s="5"/>
      <c r="C73" s="14">
        <v>452.0</v>
      </c>
      <c r="D73" s="4" t="s">
        <v>136</v>
      </c>
      <c r="E73" s="6">
        <v>5040.25</v>
      </c>
      <c r="F73" s="7">
        <v>6.0</v>
      </c>
      <c r="G73" s="8">
        <f t="shared" si="8"/>
        <v>840.0416667</v>
      </c>
      <c r="H73" s="5" t="s">
        <v>25</v>
      </c>
      <c r="I73" s="5" t="s">
        <v>128</v>
      </c>
      <c r="J73" s="18">
        <v>9.0</v>
      </c>
      <c r="K73" s="12" t="str">
        <f t="shared" si="9"/>
        <v>#NAME?</v>
      </c>
      <c r="L73" s="11" t="s">
        <v>20</v>
      </c>
    </row>
    <row r="74">
      <c r="A74" s="13" t="s">
        <v>139</v>
      </c>
      <c r="B74" s="5"/>
      <c r="C74" s="14">
        <v>451.0</v>
      </c>
      <c r="D74" s="4" t="s">
        <v>136</v>
      </c>
      <c r="E74" s="6">
        <v>5937.64</v>
      </c>
      <c r="F74" s="7">
        <v>6.0</v>
      </c>
      <c r="G74" s="8">
        <f t="shared" si="8"/>
        <v>989.6066667</v>
      </c>
      <c r="H74" s="5" t="s">
        <v>25</v>
      </c>
      <c r="I74" s="5" t="s">
        <v>128</v>
      </c>
      <c r="J74" s="18">
        <v>9.0</v>
      </c>
      <c r="K74" s="12" t="str">
        <f t="shared" si="9"/>
        <v>#NAME?</v>
      </c>
      <c r="L74" s="11" t="s">
        <v>20</v>
      </c>
    </row>
    <row r="75">
      <c r="A75" s="13" t="s">
        <v>140</v>
      </c>
      <c r="B75" s="5"/>
      <c r="C75" s="14">
        <v>453.0</v>
      </c>
      <c r="D75" s="4" t="s">
        <v>136</v>
      </c>
      <c r="E75" s="6">
        <v>5937.64</v>
      </c>
      <c r="F75" s="7">
        <v>6.0</v>
      </c>
      <c r="G75" s="8">
        <f t="shared" si="8"/>
        <v>989.6066667</v>
      </c>
      <c r="H75" s="5" t="s">
        <v>62</v>
      </c>
      <c r="I75" s="5" t="s">
        <v>26</v>
      </c>
      <c r="J75" s="5"/>
      <c r="K75" s="12" t="str">
        <f t="shared" si="9"/>
        <v>#NAME?</v>
      </c>
      <c r="L75" s="11" t="s">
        <v>20</v>
      </c>
    </row>
    <row r="76">
      <c r="A76" s="13" t="s">
        <v>141</v>
      </c>
      <c r="B76" s="5"/>
      <c r="C76" s="14">
        <v>216.0</v>
      </c>
      <c r="D76" s="4" t="s">
        <v>142</v>
      </c>
      <c r="E76" s="6">
        <v>3470.0</v>
      </c>
      <c r="F76" s="7">
        <v>1.0</v>
      </c>
      <c r="G76" s="8">
        <f t="shared" si="8"/>
        <v>3470</v>
      </c>
      <c r="H76" s="5" t="s">
        <v>62</v>
      </c>
      <c r="I76" s="5" t="s">
        <v>26</v>
      </c>
      <c r="J76" s="5"/>
      <c r="K76" s="12" t="str">
        <f t="shared" si="9"/>
        <v>#NAME?</v>
      </c>
      <c r="L76" s="5"/>
    </row>
    <row r="77">
      <c r="A77" s="13" t="s">
        <v>143</v>
      </c>
      <c r="B77" s="5"/>
      <c r="C77" s="14">
        <v>221.0</v>
      </c>
      <c r="D77" s="4" t="s">
        <v>142</v>
      </c>
      <c r="E77" s="6">
        <v>3470.0</v>
      </c>
      <c r="F77" s="7">
        <v>1.0</v>
      </c>
      <c r="G77" s="8">
        <f t="shared" si="8"/>
        <v>3470</v>
      </c>
      <c r="H77" s="5" t="s">
        <v>62</v>
      </c>
      <c r="I77" s="5" t="s">
        <v>26</v>
      </c>
      <c r="J77" s="5"/>
      <c r="K77" s="12" t="str">
        <f t="shared" si="9"/>
        <v>#NAME?</v>
      </c>
      <c r="L77" s="5"/>
    </row>
    <row r="78">
      <c r="A78" s="13" t="s">
        <v>144</v>
      </c>
      <c r="B78" s="5"/>
      <c r="C78" s="14">
        <v>215.0</v>
      </c>
      <c r="D78" s="4" t="s">
        <v>142</v>
      </c>
      <c r="E78" s="6">
        <v>5750.0</v>
      </c>
      <c r="F78" s="7">
        <v>1.0</v>
      </c>
      <c r="G78" s="8">
        <f t="shared" si="8"/>
        <v>5750</v>
      </c>
      <c r="H78" s="5" t="s">
        <v>62</v>
      </c>
      <c r="I78" s="5" t="s">
        <v>26</v>
      </c>
      <c r="J78" s="5"/>
      <c r="K78" s="12" t="str">
        <f t="shared" si="9"/>
        <v>#NAME?</v>
      </c>
      <c r="L78" s="5"/>
    </row>
    <row r="79">
      <c r="A79" s="13" t="s">
        <v>145</v>
      </c>
      <c r="B79" s="5"/>
      <c r="C79" s="14">
        <v>202.0</v>
      </c>
      <c r="D79" s="4" t="s">
        <v>142</v>
      </c>
      <c r="E79" s="6">
        <v>5040.0</v>
      </c>
      <c r="F79" s="7">
        <v>1.0</v>
      </c>
      <c r="G79" s="8">
        <f t="shared" si="8"/>
        <v>5040</v>
      </c>
      <c r="H79" s="5" t="s">
        <v>62</v>
      </c>
      <c r="I79" s="5" t="s">
        <v>26</v>
      </c>
      <c r="J79" s="5"/>
      <c r="K79" s="12" t="str">
        <f t="shared" si="9"/>
        <v>#NAME?</v>
      </c>
      <c r="L79" s="5"/>
    </row>
    <row r="80">
      <c r="A80" s="13" t="s">
        <v>146</v>
      </c>
      <c r="B80" s="5"/>
      <c r="C80" s="14">
        <v>225.0</v>
      </c>
      <c r="D80" s="4" t="s">
        <v>142</v>
      </c>
      <c r="E80" s="6">
        <v>5040.0</v>
      </c>
      <c r="F80" s="7">
        <v>1.0</v>
      </c>
      <c r="G80" s="8">
        <f t="shared" si="8"/>
        <v>5040</v>
      </c>
      <c r="H80" s="5" t="s">
        <v>62</v>
      </c>
      <c r="I80" s="5" t="s">
        <v>26</v>
      </c>
      <c r="J80" s="5"/>
      <c r="K80" s="12" t="str">
        <f t="shared" si="9"/>
        <v>#NAME?</v>
      </c>
      <c r="L80" s="5"/>
    </row>
    <row r="81">
      <c r="A81" s="13" t="s">
        <v>147</v>
      </c>
      <c r="B81" s="5"/>
      <c r="C81" s="14">
        <v>201.0</v>
      </c>
      <c r="D81" s="4" t="s">
        <v>142</v>
      </c>
      <c r="E81" s="6">
        <v>5040.0</v>
      </c>
      <c r="F81" s="7">
        <v>1.0</v>
      </c>
      <c r="G81" s="8">
        <f t="shared" si="8"/>
        <v>5040</v>
      </c>
      <c r="H81" s="5" t="s">
        <v>62</v>
      </c>
      <c r="I81" s="5" t="s">
        <v>26</v>
      </c>
      <c r="J81" s="5"/>
      <c r="K81" s="12" t="str">
        <f t="shared" si="9"/>
        <v>#NAME?</v>
      </c>
      <c r="L81" s="5"/>
    </row>
    <row r="82">
      <c r="A82" s="13" t="s">
        <v>148</v>
      </c>
      <c r="B82" s="5"/>
      <c r="C82" s="14">
        <v>200.0</v>
      </c>
      <c r="D82" s="4" t="s">
        <v>142</v>
      </c>
      <c r="E82" s="6">
        <v>5040.0</v>
      </c>
      <c r="F82" s="7">
        <v>1.0</v>
      </c>
      <c r="G82" s="8">
        <f t="shared" si="8"/>
        <v>5040</v>
      </c>
      <c r="H82" s="5" t="s">
        <v>62</v>
      </c>
      <c r="I82" s="5" t="s">
        <v>26</v>
      </c>
      <c r="J82" s="5"/>
      <c r="K82" s="12" t="str">
        <f t="shared" si="9"/>
        <v>#NAME?</v>
      </c>
      <c r="L82" s="5"/>
    </row>
    <row r="83">
      <c r="A83" s="13" t="s">
        <v>149</v>
      </c>
      <c r="B83" s="5"/>
      <c r="C83" s="14">
        <v>224.0</v>
      </c>
      <c r="D83" s="4" t="s">
        <v>142</v>
      </c>
      <c r="E83" s="6">
        <v>3750.0</v>
      </c>
      <c r="F83" s="7">
        <v>1.0</v>
      </c>
      <c r="G83" s="8">
        <f t="shared" si="8"/>
        <v>3750</v>
      </c>
      <c r="H83" s="5" t="s">
        <v>62</v>
      </c>
      <c r="I83" s="5" t="s">
        <v>26</v>
      </c>
      <c r="J83" s="5"/>
      <c r="K83" s="12" t="str">
        <f t="shared" si="9"/>
        <v>#NAME?</v>
      </c>
      <c r="L83" s="5"/>
    </row>
    <row r="84">
      <c r="A84" s="13" t="s">
        <v>150</v>
      </c>
      <c r="B84" s="5"/>
      <c r="C84" s="14">
        <v>223.0</v>
      </c>
      <c r="D84" s="4" t="s">
        <v>142</v>
      </c>
      <c r="E84" s="6">
        <v>5040.0</v>
      </c>
      <c r="F84" s="7">
        <v>1.0</v>
      </c>
      <c r="G84" s="8">
        <f t="shared" si="8"/>
        <v>5040</v>
      </c>
      <c r="H84" s="5" t="s">
        <v>62</v>
      </c>
      <c r="I84" s="5" t="s">
        <v>26</v>
      </c>
      <c r="J84" s="5"/>
      <c r="K84" s="12" t="str">
        <f t="shared" si="9"/>
        <v>#NAME?</v>
      </c>
      <c r="L84" s="5"/>
    </row>
    <row r="85">
      <c r="A85" s="13" t="s">
        <v>151</v>
      </c>
      <c r="B85" s="5"/>
      <c r="C85" s="14">
        <v>214.0</v>
      </c>
      <c r="D85" s="4" t="s">
        <v>142</v>
      </c>
      <c r="E85" s="6">
        <v>8190.0</v>
      </c>
      <c r="F85" s="7">
        <v>1.0</v>
      </c>
      <c r="G85" s="8">
        <f t="shared" si="8"/>
        <v>8190</v>
      </c>
      <c r="H85" s="5" t="s">
        <v>62</v>
      </c>
      <c r="I85" s="5" t="s">
        <v>26</v>
      </c>
      <c r="J85" s="5"/>
      <c r="K85" s="12" t="str">
        <f t="shared" si="9"/>
        <v>#NAME?</v>
      </c>
      <c r="L85" s="5"/>
    </row>
    <row r="86">
      <c r="A86" s="13" t="s">
        <v>152</v>
      </c>
      <c r="B86" s="5"/>
      <c r="C86" s="14">
        <v>220.0</v>
      </c>
      <c r="D86" s="4" t="s">
        <v>142</v>
      </c>
      <c r="E86" s="6">
        <v>8820.0</v>
      </c>
      <c r="F86" s="7">
        <v>1.0</v>
      </c>
      <c r="G86" s="8">
        <f t="shared" si="8"/>
        <v>8820</v>
      </c>
      <c r="H86" s="5" t="s">
        <v>62</v>
      </c>
      <c r="I86" s="5" t="s">
        <v>26</v>
      </c>
      <c r="J86" s="5"/>
      <c r="K86" s="12" t="str">
        <f t="shared" si="9"/>
        <v>#NAME?</v>
      </c>
      <c r="L86" s="5"/>
    </row>
    <row r="87">
      <c r="A87" s="13" t="s">
        <v>153</v>
      </c>
      <c r="B87" s="5"/>
      <c r="C87" s="14">
        <v>222.0</v>
      </c>
      <c r="D87" s="4" t="s">
        <v>142</v>
      </c>
      <c r="E87" s="6">
        <v>3780.0</v>
      </c>
      <c r="F87" s="7">
        <v>1.0</v>
      </c>
      <c r="G87" s="8">
        <f t="shared" si="8"/>
        <v>3780</v>
      </c>
      <c r="H87" s="5" t="s">
        <v>62</v>
      </c>
      <c r="I87" s="5" t="s">
        <v>26</v>
      </c>
      <c r="J87" s="5"/>
      <c r="K87" s="12" t="str">
        <f t="shared" si="9"/>
        <v>#NAME?</v>
      </c>
      <c r="L87" s="5"/>
    </row>
    <row r="88">
      <c r="A88" s="13" t="s">
        <v>154</v>
      </c>
      <c r="B88" s="5"/>
      <c r="C88" s="14">
        <v>217.0</v>
      </c>
      <c r="D88" s="4" t="s">
        <v>142</v>
      </c>
      <c r="E88" s="6">
        <v>3950.0</v>
      </c>
      <c r="F88" s="7">
        <v>1.0</v>
      </c>
      <c r="G88" s="8">
        <f t="shared" si="8"/>
        <v>3950</v>
      </c>
      <c r="H88" s="5" t="s">
        <v>25</v>
      </c>
      <c r="I88" s="5" t="s">
        <v>26</v>
      </c>
      <c r="J88" s="18">
        <f>38*40</f>
        <v>1520</v>
      </c>
      <c r="K88" s="12" t="str">
        <f t="shared" si="9"/>
        <v>#NAME?</v>
      </c>
      <c r="L88" s="5"/>
    </row>
    <row r="89">
      <c r="A89" s="4" t="s">
        <v>155</v>
      </c>
      <c r="B89" s="5"/>
      <c r="C89" s="10">
        <v>530.0</v>
      </c>
      <c r="D89" s="4" t="s">
        <v>142</v>
      </c>
      <c r="E89" s="6" t="e">
        <v>#REF!</v>
      </c>
      <c r="F89" s="7">
        <v>30.0</v>
      </c>
      <c r="G89" s="8" t="str">
        <f t="shared" si="8"/>
        <v>#REF!</v>
      </c>
      <c r="H89" s="5"/>
      <c r="I89" s="5"/>
      <c r="J89" s="5"/>
      <c r="K89" s="9"/>
      <c r="L89" s="5"/>
    </row>
    <row r="90">
      <c r="A90" s="4" t="s">
        <v>156</v>
      </c>
      <c r="B90" s="5"/>
      <c r="C90" s="10" t="s">
        <v>157</v>
      </c>
      <c r="D90" s="4" t="s">
        <v>142</v>
      </c>
      <c r="E90" s="6">
        <v>3250.0</v>
      </c>
      <c r="F90" s="7">
        <v>30.0</v>
      </c>
      <c r="G90" s="8">
        <f t="shared" si="8"/>
        <v>108.3333333</v>
      </c>
      <c r="H90" s="5"/>
      <c r="I90" s="5"/>
      <c r="J90" s="5"/>
      <c r="K90" s="9"/>
      <c r="L90" s="5"/>
    </row>
    <row r="91">
      <c r="A91" s="13" t="s">
        <v>158</v>
      </c>
      <c r="B91" s="5"/>
      <c r="C91" s="14">
        <v>340.0</v>
      </c>
      <c r="D91" s="4" t="s">
        <v>159</v>
      </c>
      <c r="E91" s="6">
        <v>10850.0</v>
      </c>
      <c r="F91" s="7">
        <v>40.0</v>
      </c>
      <c r="G91" s="8">
        <f t="shared" si="8"/>
        <v>271.25</v>
      </c>
      <c r="H91" s="5" t="s">
        <v>25</v>
      </c>
      <c r="I91" s="5" t="s">
        <v>26</v>
      </c>
      <c r="J91" s="18">
        <v>1520.0</v>
      </c>
      <c r="K91" s="12" t="str">
        <f t="shared" ref="K91:K93" si="10">_xludf.IFS(H91="SI",J91/F91,H91="NO",1)</f>
        <v>#NAME?</v>
      </c>
      <c r="L91" s="11" t="s">
        <v>20</v>
      </c>
    </row>
    <row r="92">
      <c r="A92" s="13" t="s">
        <v>160</v>
      </c>
      <c r="B92" s="5"/>
      <c r="C92" s="14">
        <v>339.0</v>
      </c>
      <c r="D92" s="4" t="s">
        <v>159</v>
      </c>
      <c r="E92" s="6">
        <v>10850.0</v>
      </c>
      <c r="F92" s="7">
        <v>40.0</v>
      </c>
      <c r="G92" s="8">
        <f t="shared" si="8"/>
        <v>271.25</v>
      </c>
      <c r="H92" s="5" t="s">
        <v>25</v>
      </c>
      <c r="I92" s="5" t="s">
        <v>26</v>
      </c>
      <c r="J92" s="18">
        <v>1680.0</v>
      </c>
      <c r="K92" s="12" t="str">
        <f t="shared" si="10"/>
        <v>#NAME?</v>
      </c>
      <c r="L92" s="11" t="s">
        <v>20</v>
      </c>
    </row>
    <row r="93">
      <c r="A93" s="13" t="s">
        <v>161</v>
      </c>
      <c r="B93" s="5"/>
      <c r="C93" s="14">
        <v>337.0</v>
      </c>
      <c r="D93" s="4" t="s">
        <v>159</v>
      </c>
      <c r="E93" s="6">
        <v>10850.0</v>
      </c>
      <c r="F93" s="7">
        <v>24.0</v>
      </c>
      <c r="G93" s="8">
        <f t="shared" si="8"/>
        <v>452.0833333</v>
      </c>
      <c r="H93" s="5" t="s">
        <v>25</v>
      </c>
      <c r="I93" s="5" t="s">
        <v>26</v>
      </c>
      <c r="J93" s="18">
        <v>1680.0</v>
      </c>
      <c r="K93" s="12" t="str">
        <f t="shared" si="10"/>
        <v>#NAME?</v>
      </c>
      <c r="L93" s="11" t="s">
        <v>20</v>
      </c>
    </row>
    <row r="94">
      <c r="A94" s="13" t="s">
        <v>162</v>
      </c>
      <c r="B94" s="5"/>
      <c r="C94" s="14">
        <v>336.0</v>
      </c>
      <c r="D94" s="4" t="s">
        <v>159</v>
      </c>
      <c r="E94" s="6">
        <v>10850.0</v>
      </c>
      <c r="F94" s="7">
        <v>24.0</v>
      </c>
      <c r="G94" s="8">
        <f t="shared" si="8"/>
        <v>452.0833333</v>
      </c>
      <c r="H94" s="5"/>
      <c r="I94" s="5"/>
      <c r="J94" s="5"/>
      <c r="K94" s="9"/>
      <c r="L94" s="11" t="s">
        <v>20</v>
      </c>
    </row>
    <row r="95">
      <c r="A95" s="4" t="s">
        <v>163</v>
      </c>
      <c r="B95" s="5"/>
      <c r="C95" s="14">
        <v>336.0</v>
      </c>
      <c r="D95" s="4" t="s">
        <v>159</v>
      </c>
      <c r="E95" s="6">
        <v>10850.0</v>
      </c>
      <c r="F95" s="7">
        <v>24.0</v>
      </c>
      <c r="G95" s="20"/>
      <c r="H95" s="5"/>
      <c r="I95" s="5"/>
      <c r="J95" s="5"/>
      <c r="K95" s="9"/>
      <c r="L95" s="11" t="s">
        <v>20</v>
      </c>
    </row>
    <row r="96">
      <c r="A96" s="4" t="s">
        <v>164</v>
      </c>
      <c r="B96" s="5"/>
      <c r="C96" s="10">
        <v>1062.0</v>
      </c>
      <c r="D96" s="4" t="s">
        <v>159</v>
      </c>
      <c r="E96" s="6">
        <v>7198.01</v>
      </c>
      <c r="F96" s="7">
        <v>40.0</v>
      </c>
      <c r="G96" s="8">
        <f t="shared" ref="G96:G230" si="11">E96/F96</f>
        <v>179.95025</v>
      </c>
      <c r="H96" s="5"/>
      <c r="I96" s="5"/>
      <c r="J96" s="5"/>
      <c r="K96" s="9"/>
      <c r="L96" s="11" t="s">
        <v>20</v>
      </c>
    </row>
    <row r="97">
      <c r="A97" s="4" t="s">
        <v>165</v>
      </c>
      <c r="B97" s="5"/>
      <c r="C97" s="10">
        <v>1062.0</v>
      </c>
      <c r="D97" s="4" t="s">
        <v>159</v>
      </c>
      <c r="E97" s="6">
        <v>7198.01</v>
      </c>
      <c r="F97" s="7">
        <v>40.0</v>
      </c>
      <c r="G97" s="8">
        <f t="shared" si="11"/>
        <v>179.95025</v>
      </c>
      <c r="H97" s="5"/>
      <c r="I97" s="5"/>
      <c r="J97" s="5"/>
      <c r="K97" s="9"/>
      <c r="L97" s="11" t="s">
        <v>20</v>
      </c>
    </row>
    <row r="98">
      <c r="A98" s="4" t="s">
        <v>166</v>
      </c>
      <c r="B98" s="5"/>
      <c r="C98" s="10">
        <v>1062.0</v>
      </c>
      <c r="D98" s="4" t="s">
        <v>159</v>
      </c>
      <c r="E98" s="6">
        <v>7198.01</v>
      </c>
      <c r="F98" s="7">
        <v>40.0</v>
      </c>
      <c r="G98" s="8">
        <f t="shared" si="11"/>
        <v>179.95025</v>
      </c>
      <c r="H98" s="5"/>
      <c r="I98" s="5"/>
      <c r="J98" s="5"/>
      <c r="K98" s="9"/>
      <c r="L98" s="11" t="s">
        <v>20</v>
      </c>
    </row>
    <row r="99">
      <c r="A99" s="4" t="s">
        <v>167</v>
      </c>
      <c r="B99" s="5"/>
      <c r="C99" s="10" t="s">
        <v>168</v>
      </c>
      <c r="D99" s="4" t="s">
        <v>159</v>
      </c>
      <c r="E99" s="6">
        <v>9009.82</v>
      </c>
      <c r="F99" s="7">
        <v>24.0</v>
      </c>
      <c r="G99" s="8">
        <f t="shared" si="11"/>
        <v>375.4091667</v>
      </c>
      <c r="H99" s="5"/>
      <c r="I99" s="5"/>
      <c r="J99" s="5"/>
      <c r="K99" s="9"/>
      <c r="L99" s="11" t="s">
        <v>20</v>
      </c>
    </row>
    <row r="100">
      <c r="A100" s="13" t="s">
        <v>169</v>
      </c>
      <c r="B100" s="5"/>
      <c r="C100" s="14">
        <v>404.0</v>
      </c>
      <c r="D100" s="4" t="s">
        <v>159</v>
      </c>
      <c r="E100" s="6">
        <v>8050.0</v>
      </c>
      <c r="F100" s="7">
        <v>24.0</v>
      </c>
      <c r="G100" s="8">
        <f t="shared" si="11"/>
        <v>335.4166667</v>
      </c>
      <c r="H100" s="5" t="s">
        <v>62</v>
      </c>
      <c r="I100" s="5" t="s">
        <v>26</v>
      </c>
      <c r="J100" s="5"/>
      <c r="K100" s="12" t="str">
        <f>_xludf.IFS(H100="SI",J100/F100,H100="NO",1)</f>
        <v>#NAME?</v>
      </c>
      <c r="L100" s="11" t="s">
        <v>20</v>
      </c>
    </row>
    <row r="101">
      <c r="A101" s="13" t="s">
        <v>170</v>
      </c>
      <c r="B101" s="5"/>
      <c r="C101" s="14">
        <v>320.0</v>
      </c>
      <c r="D101" s="4" t="s">
        <v>159</v>
      </c>
      <c r="E101" s="6">
        <v>8050.0</v>
      </c>
      <c r="F101" s="7">
        <v>24.0</v>
      </c>
      <c r="G101" s="8">
        <f t="shared" si="11"/>
        <v>335.4166667</v>
      </c>
      <c r="H101" s="5"/>
      <c r="I101" s="5"/>
      <c r="J101" s="5"/>
      <c r="K101" s="9"/>
      <c r="L101" s="11" t="s">
        <v>20</v>
      </c>
    </row>
    <row r="102">
      <c r="A102" s="4" t="s">
        <v>171</v>
      </c>
      <c r="B102" s="5"/>
      <c r="C102" s="10">
        <v>405.0</v>
      </c>
      <c r="D102" s="4" t="s">
        <v>159</v>
      </c>
      <c r="E102" s="6">
        <v>6650.0</v>
      </c>
      <c r="F102" s="7">
        <v>20.0</v>
      </c>
      <c r="G102" s="8">
        <f t="shared" si="11"/>
        <v>332.5</v>
      </c>
      <c r="H102" s="5"/>
      <c r="I102" s="5"/>
      <c r="J102" s="5"/>
      <c r="K102" s="9"/>
      <c r="L102" s="11" t="s">
        <v>20</v>
      </c>
    </row>
    <row r="103">
      <c r="A103" s="4" t="s">
        <v>172</v>
      </c>
      <c r="B103" s="5"/>
      <c r="C103" s="10">
        <v>342.0</v>
      </c>
      <c r="D103" s="4" t="s">
        <v>159</v>
      </c>
      <c r="E103" s="6">
        <v>6650.0</v>
      </c>
      <c r="F103" s="7">
        <v>20.0</v>
      </c>
      <c r="G103" s="8">
        <f t="shared" si="11"/>
        <v>332.5</v>
      </c>
      <c r="H103" s="5"/>
      <c r="I103" s="5"/>
      <c r="J103" s="5"/>
      <c r="K103" s="9"/>
      <c r="L103" s="11" t="s">
        <v>20</v>
      </c>
    </row>
    <row r="104">
      <c r="A104" s="4" t="s">
        <v>173</v>
      </c>
      <c r="B104" s="5"/>
      <c r="C104" s="10" t="s">
        <v>174</v>
      </c>
      <c r="D104" s="4" t="s">
        <v>159</v>
      </c>
      <c r="E104" s="6">
        <v>6912.0</v>
      </c>
      <c r="F104" s="7">
        <v>50.0</v>
      </c>
      <c r="G104" s="8">
        <f t="shared" si="11"/>
        <v>138.24</v>
      </c>
      <c r="H104" s="5"/>
      <c r="I104" s="5"/>
      <c r="J104" s="5"/>
      <c r="K104" s="9"/>
      <c r="L104" s="11" t="s">
        <v>20</v>
      </c>
    </row>
    <row r="105">
      <c r="A105" s="4" t="s">
        <v>175</v>
      </c>
      <c r="B105" s="5"/>
      <c r="C105" s="10">
        <v>458.0</v>
      </c>
      <c r="D105" s="4" t="s">
        <v>159</v>
      </c>
      <c r="E105" s="6">
        <v>9826.8</v>
      </c>
      <c r="F105" s="7">
        <v>40.0</v>
      </c>
      <c r="G105" s="8">
        <f t="shared" si="11"/>
        <v>245.67</v>
      </c>
      <c r="H105" s="5"/>
      <c r="I105" s="5"/>
      <c r="J105" s="5"/>
      <c r="K105" s="9"/>
      <c r="L105" s="11" t="s">
        <v>20</v>
      </c>
    </row>
    <row r="106">
      <c r="A106" s="4" t="s">
        <v>176</v>
      </c>
      <c r="B106" s="5"/>
      <c r="C106" s="10">
        <v>10064.0</v>
      </c>
      <c r="D106" s="4" t="s">
        <v>159</v>
      </c>
      <c r="E106" s="6">
        <v>9826.8</v>
      </c>
      <c r="F106" s="7">
        <v>40.0</v>
      </c>
      <c r="G106" s="8">
        <f t="shared" si="11"/>
        <v>245.67</v>
      </c>
      <c r="H106" s="5"/>
      <c r="I106" s="5"/>
      <c r="J106" s="5"/>
      <c r="K106" s="9"/>
      <c r="L106" s="11" t="s">
        <v>20</v>
      </c>
    </row>
    <row r="107">
      <c r="A107" s="4" t="s">
        <v>177</v>
      </c>
      <c r="B107" s="5"/>
      <c r="C107" s="10" t="s">
        <v>178</v>
      </c>
      <c r="D107" s="4" t="s">
        <v>159</v>
      </c>
      <c r="E107" s="6">
        <v>680.0</v>
      </c>
      <c r="F107" s="7">
        <v>1.0</v>
      </c>
      <c r="G107" s="8">
        <f t="shared" si="11"/>
        <v>680</v>
      </c>
      <c r="H107" s="5"/>
      <c r="I107" s="5"/>
      <c r="J107" s="5"/>
      <c r="K107" s="9"/>
      <c r="L107" s="5"/>
    </row>
    <row r="108">
      <c r="A108" s="4" t="s">
        <v>179</v>
      </c>
      <c r="B108" s="5"/>
      <c r="C108" s="10">
        <v>485.0</v>
      </c>
      <c r="D108" s="4" t="s">
        <v>159</v>
      </c>
      <c r="E108" s="6">
        <v>13900.22</v>
      </c>
      <c r="F108" s="7">
        <v>24.0</v>
      </c>
      <c r="G108" s="8">
        <f t="shared" si="11"/>
        <v>579.1758333</v>
      </c>
      <c r="H108" s="5"/>
      <c r="I108" s="5"/>
      <c r="J108" s="5"/>
      <c r="K108" s="9"/>
      <c r="L108" s="11" t="s">
        <v>20</v>
      </c>
    </row>
    <row r="109">
      <c r="A109" s="4" t="s">
        <v>180</v>
      </c>
      <c r="B109" s="5"/>
      <c r="C109" s="10">
        <v>498.0</v>
      </c>
      <c r="D109" s="4" t="s">
        <v>159</v>
      </c>
      <c r="E109" s="6">
        <v>13239.71</v>
      </c>
      <c r="F109" s="7">
        <v>40.0</v>
      </c>
      <c r="G109" s="8">
        <f t="shared" si="11"/>
        <v>330.99275</v>
      </c>
      <c r="H109" s="5"/>
      <c r="I109" s="5"/>
      <c r="J109" s="5"/>
      <c r="K109" s="9"/>
      <c r="L109" s="11" t="s">
        <v>20</v>
      </c>
    </row>
    <row r="110">
      <c r="A110" s="4" t="s">
        <v>181</v>
      </c>
      <c r="B110" s="5"/>
      <c r="C110" s="10">
        <v>885.0</v>
      </c>
      <c r="D110" s="4" t="s">
        <v>159</v>
      </c>
      <c r="E110" s="6">
        <v>12991.17</v>
      </c>
      <c r="F110" s="7">
        <v>20.0</v>
      </c>
      <c r="G110" s="8">
        <f t="shared" si="11"/>
        <v>649.5585</v>
      </c>
      <c r="H110" s="5"/>
      <c r="I110" s="5"/>
      <c r="J110" s="5"/>
      <c r="K110" s="9"/>
      <c r="L110" s="11" t="s">
        <v>20</v>
      </c>
    </row>
    <row r="111">
      <c r="A111" s="4" t="s">
        <v>182</v>
      </c>
      <c r="B111" s="5"/>
      <c r="C111" s="10">
        <v>10001.0</v>
      </c>
      <c r="D111" s="4" t="s">
        <v>159</v>
      </c>
      <c r="E111" s="6">
        <v>5523.26</v>
      </c>
      <c r="F111" s="7">
        <v>30.0</v>
      </c>
      <c r="G111" s="8">
        <f t="shared" si="11"/>
        <v>184.1086667</v>
      </c>
      <c r="H111" s="5"/>
      <c r="I111" s="5"/>
      <c r="J111" s="5"/>
      <c r="K111" s="9"/>
      <c r="L111" s="11" t="s">
        <v>20</v>
      </c>
    </row>
    <row r="112">
      <c r="A112" s="4" t="s">
        <v>183</v>
      </c>
      <c r="B112" s="5"/>
      <c r="C112" s="10" t="s">
        <v>184</v>
      </c>
      <c r="D112" s="4" t="s">
        <v>159</v>
      </c>
      <c r="E112" s="6">
        <v>12473.37</v>
      </c>
      <c r="F112" s="7">
        <v>48.0</v>
      </c>
      <c r="G112" s="8">
        <f t="shared" si="11"/>
        <v>259.861875</v>
      </c>
      <c r="H112" s="5"/>
      <c r="I112" s="5"/>
      <c r="J112" s="5"/>
      <c r="K112" s="9"/>
      <c r="L112" s="11" t="s">
        <v>20</v>
      </c>
    </row>
    <row r="113">
      <c r="A113" s="4" t="s">
        <v>185</v>
      </c>
      <c r="B113" s="5"/>
      <c r="C113" s="10" t="s">
        <v>186</v>
      </c>
      <c r="D113" s="4" t="s">
        <v>159</v>
      </c>
      <c r="E113" s="6">
        <v>12473.37</v>
      </c>
      <c r="F113" s="7">
        <v>48.0</v>
      </c>
      <c r="G113" s="8">
        <f t="shared" si="11"/>
        <v>259.861875</v>
      </c>
      <c r="H113" s="5"/>
      <c r="I113" s="5"/>
      <c r="J113" s="5"/>
      <c r="K113" s="9"/>
      <c r="L113" s="11" t="s">
        <v>20</v>
      </c>
    </row>
    <row r="114">
      <c r="A114" s="4" t="s">
        <v>187</v>
      </c>
      <c r="B114" s="5"/>
      <c r="C114" s="10" t="s">
        <v>188</v>
      </c>
      <c r="D114" s="4" t="s">
        <v>159</v>
      </c>
      <c r="E114" s="6">
        <v>3452.04</v>
      </c>
      <c r="F114" s="7">
        <v>24.0</v>
      </c>
      <c r="G114" s="8">
        <f t="shared" si="11"/>
        <v>143.835</v>
      </c>
      <c r="H114" s="5"/>
      <c r="I114" s="5"/>
      <c r="J114" s="5"/>
      <c r="K114" s="9"/>
      <c r="L114" s="11" t="s">
        <v>20</v>
      </c>
    </row>
    <row r="115">
      <c r="A115" s="4" t="s">
        <v>189</v>
      </c>
      <c r="B115" s="5"/>
      <c r="C115" s="10" t="s">
        <v>168</v>
      </c>
      <c r="D115" s="4" t="s">
        <v>159</v>
      </c>
      <c r="E115" s="6">
        <v>9009.82</v>
      </c>
      <c r="F115" s="7">
        <v>24.0</v>
      </c>
      <c r="G115" s="8">
        <f t="shared" si="11"/>
        <v>375.4091667</v>
      </c>
      <c r="H115" s="5"/>
      <c r="I115" s="5"/>
      <c r="J115" s="5"/>
      <c r="K115" s="9"/>
      <c r="L115" s="11" t="s">
        <v>20</v>
      </c>
    </row>
    <row r="116">
      <c r="A116" s="4" t="s">
        <v>190</v>
      </c>
      <c r="B116" s="5"/>
      <c r="C116" s="10" t="s">
        <v>191</v>
      </c>
      <c r="D116" s="4" t="s">
        <v>159</v>
      </c>
      <c r="E116" s="6">
        <v>2870.0</v>
      </c>
      <c r="F116" s="7">
        <v>15.0</v>
      </c>
      <c r="G116" s="8">
        <f t="shared" si="11"/>
        <v>191.3333333</v>
      </c>
      <c r="H116" s="5"/>
      <c r="I116" s="5"/>
      <c r="J116" s="5"/>
      <c r="K116" s="9"/>
      <c r="L116" s="11" t="s">
        <v>20</v>
      </c>
    </row>
    <row r="117">
      <c r="A117" s="4" t="s">
        <v>192</v>
      </c>
      <c r="B117" s="5"/>
      <c r="C117" s="10" t="s">
        <v>193</v>
      </c>
      <c r="D117" s="4" t="s">
        <v>194</v>
      </c>
      <c r="E117" s="6">
        <v>1140.0</v>
      </c>
      <c r="F117" s="7">
        <v>1.0</v>
      </c>
      <c r="G117" s="8">
        <f t="shared" si="11"/>
        <v>1140</v>
      </c>
      <c r="H117" s="5"/>
      <c r="I117" s="5"/>
      <c r="J117" s="5"/>
      <c r="K117" s="9"/>
      <c r="L117" s="5"/>
    </row>
    <row r="118">
      <c r="A118" s="4" t="s">
        <v>195</v>
      </c>
      <c r="B118" s="5"/>
      <c r="C118" s="10">
        <v>1847.0</v>
      </c>
      <c r="D118" s="4" t="s">
        <v>194</v>
      </c>
      <c r="E118" s="6">
        <v>1481.2</v>
      </c>
      <c r="F118" s="7">
        <v>1.0</v>
      </c>
      <c r="G118" s="8">
        <f t="shared" si="11"/>
        <v>1481.2</v>
      </c>
      <c r="H118" s="5"/>
      <c r="I118" s="5"/>
      <c r="J118" s="5"/>
      <c r="K118" s="9"/>
      <c r="L118" s="5"/>
    </row>
    <row r="119">
      <c r="A119" s="4" t="s">
        <v>196</v>
      </c>
      <c r="B119" s="5"/>
      <c r="C119" s="10">
        <v>1847.0</v>
      </c>
      <c r="D119" s="4" t="s">
        <v>194</v>
      </c>
      <c r="E119" s="6">
        <v>1481.2</v>
      </c>
      <c r="F119" s="7">
        <v>1.0</v>
      </c>
      <c r="G119" s="8">
        <f t="shared" si="11"/>
        <v>1481.2</v>
      </c>
      <c r="H119" s="5"/>
      <c r="I119" s="5"/>
      <c r="J119" s="5"/>
      <c r="K119" s="9"/>
      <c r="L119" s="5"/>
    </row>
    <row r="120">
      <c r="A120" s="4" t="s">
        <v>197</v>
      </c>
      <c r="B120" s="5"/>
      <c r="C120" s="10">
        <v>1843.0</v>
      </c>
      <c r="D120" s="4" t="s">
        <v>194</v>
      </c>
      <c r="E120" s="6">
        <v>1481.2</v>
      </c>
      <c r="F120" s="7">
        <v>1.0</v>
      </c>
      <c r="G120" s="8">
        <f t="shared" si="11"/>
        <v>1481.2</v>
      </c>
      <c r="H120" s="5"/>
      <c r="I120" s="5"/>
      <c r="J120" s="5"/>
      <c r="K120" s="9"/>
      <c r="L120" s="5"/>
    </row>
    <row r="121">
      <c r="A121" s="4" t="s">
        <v>198</v>
      </c>
      <c r="B121" s="5"/>
      <c r="C121" s="10">
        <v>1845.0</v>
      </c>
      <c r="D121" s="4" t="s">
        <v>194</v>
      </c>
      <c r="E121" s="6">
        <v>1481.2</v>
      </c>
      <c r="F121" s="7">
        <v>1.0</v>
      </c>
      <c r="G121" s="8">
        <f t="shared" si="11"/>
        <v>1481.2</v>
      </c>
      <c r="H121" s="5"/>
      <c r="I121" s="5"/>
      <c r="J121" s="5"/>
      <c r="K121" s="9"/>
      <c r="L121" s="5"/>
    </row>
    <row r="122">
      <c r="A122" s="4" t="s">
        <v>199</v>
      </c>
      <c r="B122" s="5"/>
      <c r="C122" s="10">
        <v>1844.0</v>
      </c>
      <c r="D122" s="4" t="s">
        <v>194</v>
      </c>
      <c r="E122" s="6">
        <v>1481.2</v>
      </c>
      <c r="F122" s="7">
        <v>1.0</v>
      </c>
      <c r="G122" s="8">
        <f t="shared" si="11"/>
        <v>1481.2</v>
      </c>
      <c r="H122" s="5"/>
      <c r="I122" s="5"/>
      <c r="J122" s="5"/>
      <c r="K122" s="9"/>
      <c r="L122" s="5"/>
    </row>
    <row r="123">
      <c r="A123" s="4" t="s">
        <v>200</v>
      </c>
      <c r="B123" s="5"/>
      <c r="C123" s="10">
        <v>1848.0</v>
      </c>
      <c r="D123" s="4" t="s">
        <v>194</v>
      </c>
      <c r="E123" s="6">
        <v>1481.2</v>
      </c>
      <c r="F123" s="7">
        <v>1.0</v>
      </c>
      <c r="G123" s="8">
        <f t="shared" si="11"/>
        <v>1481.2</v>
      </c>
      <c r="H123" s="5"/>
      <c r="I123" s="5"/>
      <c r="J123" s="5"/>
      <c r="K123" s="9"/>
      <c r="L123" s="5"/>
    </row>
    <row r="124">
      <c r="A124" s="4" t="s">
        <v>201</v>
      </c>
      <c r="B124" s="5"/>
      <c r="C124" s="10">
        <v>1846.0</v>
      </c>
      <c r="D124" s="4" t="s">
        <v>194</v>
      </c>
      <c r="E124" s="6">
        <v>1481.2</v>
      </c>
      <c r="F124" s="7">
        <v>1.0</v>
      </c>
      <c r="G124" s="8">
        <f t="shared" si="11"/>
        <v>1481.2</v>
      </c>
      <c r="H124" s="5"/>
      <c r="I124" s="5"/>
      <c r="J124" s="5"/>
      <c r="K124" s="9"/>
      <c r="L124" s="5"/>
    </row>
    <row r="125">
      <c r="A125" s="4" t="s">
        <v>202</v>
      </c>
      <c r="B125" s="5"/>
      <c r="C125" s="10" t="s">
        <v>203</v>
      </c>
      <c r="D125" s="4" t="s">
        <v>194</v>
      </c>
      <c r="E125" s="6">
        <v>2170.0</v>
      </c>
      <c r="F125" s="7">
        <v>1.0</v>
      </c>
      <c r="G125" s="8">
        <f t="shared" si="11"/>
        <v>2170</v>
      </c>
      <c r="H125" s="5"/>
      <c r="I125" s="5"/>
      <c r="J125" s="5"/>
      <c r="K125" s="9"/>
      <c r="L125" s="5"/>
    </row>
    <row r="126">
      <c r="A126" s="4" t="s">
        <v>204</v>
      </c>
      <c r="B126" s="5"/>
      <c r="C126" s="10">
        <v>484.0</v>
      </c>
      <c r="D126" s="4" t="s">
        <v>194</v>
      </c>
      <c r="E126" s="6">
        <v>2170.0</v>
      </c>
      <c r="F126" s="7">
        <v>1.0</v>
      </c>
      <c r="G126" s="8">
        <f t="shared" si="11"/>
        <v>2170</v>
      </c>
      <c r="H126" s="5"/>
      <c r="I126" s="5"/>
      <c r="J126" s="5"/>
      <c r="K126" s="9"/>
      <c r="L126" s="5"/>
    </row>
    <row r="127">
      <c r="A127" s="4" t="s">
        <v>205</v>
      </c>
      <c r="B127" s="5"/>
      <c r="C127" s="10">
        <v>486.0</v>
      </c>
      <c r="D127" s="4" t="s">
        <v>194</v>
      </c>
      <c r="E127" s="6">
        <v>1060.0</v>
      </c>
      <c r="F127" s="7">
        <v>1.0</v>
      </c>
      <c r="G127" s="8">
        <f t="shared" si="11"/>
        <v>1060</v>
      </c>
      <c r="H127" s="5"/>
      <c r="I127" s="5"/>
      <c r="J127" s="5"/>
      <c r="K127" s="9"/>
      <c r="L127" s="5"/>
    </row>
    <row r="128">
      <c r="A128" s="4" t="s">
        <v>206</v>
      </c>
      <c r="B128" s="5"/>
      <c r="C128" s="10">
        <v>484.0</v>
      </c>
      <c r="D128" s="4" t="s">
        <v>194</v>
      </c>
      <c r="E128" s="6">
        <v>2170.0</v>
      </c>
      <c r="F128" s="7">
        <v>1.0</v>
      </c>
      <c r="G128" s="8">
        <f t="shared" si="11"/>
        <v>2170</v>
      </c>
      <c r="H128" s="5"/>
      <c r="I128" s="5"/>
      <c r="J128" s="5"/>
      <c r="K128" s="9"/>
      <c r="L128" s="5"/>
    </row>
    <row r="129">
      <c r="A129" s="4" t="s">
        <v>207</v>
      </c>
      <c r="B129" s="5"/>
      <c r="C129" s="10" t="s">
        <v>203</v>
      </c>
      <c r="D129" s="4" t="s">
        <v>194</v>
      </c>
      <c r="E129" s="6">
        <v>2170.0</v>
      </c>
      <c r="F129" s="7">
        <v>1.0</v>
      </c>
      <c r="G129" s="8">
        <f t="shared" si="11"/>
        <v>2170</v>
      </c>
      <c r="H129" s="5"/>
      <c r="I129" s="5"/>
      <c r="J129" s="5"/>
      <c r="K129" s="9"/>
      <c r="L129" s="5"/>
    </row>
    <row r="130">
      <c r="A130" s="4" t="s">
        <v>208</v>
      </c>
      <c r="B130" s="5"/>
      <c r="C130" s="10" t="s">
        <v>209</v>
      </c>
      <c r="D130" s="4" t="s">
        <v>194</v>
      </c>
      <c r="E130" s="6">
        <v>1630.0</v>
      </c>
      <c r="F130" s="7">
        <v>1.0</v>
      </c>
      <c r="G130" s="8">
        <f t="shared" si="11"/>
        <v>1630</v>
      </c>
      <c r="H130" s="5"/>
      <c r="I130" s="5"/>
      <c r="J130" s="5"/>
      <c r="K130" s="9"/>
      <c r="L130" s="5"/>
    </row>
    <row r="131">
      <c r="A131" s="4" t="s">
        <v>210</v>
      </c>
      <c r="B131" s="5"/>
      <c r="C131" s="10" t="s">
        <v>211</v>
      </c>
      <c r="D131" s="4" t="s">
        <v>194</v>
      </c>
      <c r="E131" s="6">
        <v>1630.0</v>
      </c>
      <c r="F131" s="7">
        <v>1.0</v>
      </c>
      <c r="G131" s="8">
        <f t="shared" si="11"/>
        <v>1630</v>
      </c>
      <c r="H131" s="5"/>
      <c r="I131" s="5"/>
      <c r="J131" s="5"/>
      <c r="K131" s="9"/>
      <c r="L131" s="5"/>
    </row>
    <row r="132">
      <c r="A132" s="4" t="s">
        <v>212</v>
      </c>
      <c r="B132" s="5"/>
      <c r="C132" s="10">
        <v>188.0</v>
      </c>
      <c r="D132" s="4" t="s">
        <v>194</v>
      </c>
      <c r="E132" s="6">
        <v>1020.0</v>
      </c>
      <c r="F132" s="7">
        <v>1.0</v>
      </c>
      <c r="G132" s="8">
        <f t="shared" si="11"/>
        <v>1020</v>
      </c>
      <c r="H132" s="5"/>
      <c r="I132" s="5"/>
      <c r="J132" s="5"/>
      <c r="K132" s="9"/>
      <c r="L132" s="5"/>
    </row>
    <row r="133">
      <c r="A133" s="4" t="s">
        <v>213</v>
      </c>
      <c r="B133" s="5"/>
      <c r="C133" s="10">
        <v>13333.0</v>
      </c>
      <c r="D133" s="4" t="s">
        <v>194</v>
      </c>
      <c r="E133" s="6">
        <v>502.5</v>
      </c>
      <c r="F133" s="7">
        <v>1.0</v>
      </c>
      <c r="G133" s="8">
        <f t="shared" si="11"/>
        <v>502.5</v>
      </c>
      <c r="H133" s="5"/>
      <c r="I133" s="5"/>
      <c r="J133" s="5"/>
      <c r="K133" s="9"/>
      <c r="L133" s="5"/>
    </row>
    <row r="134">
      <c r="A134" s="4" t="s">
        <v>214</v>
      </c>
      <c r="B134" s="5"/>
      <c r="C134" s="10" t="s">
        <v>215</v>
      </c>
      <c r="D134" s="4" t="s">
        <v>194</v>
      </c>
      <c r="E134" s="6">
        <v>380.0</v>
      </c>
      <c r="F134" s="7">
        <v>1.0</v>
      </c>
      <c r="G134" s="8">
        <f t="shared" si="11"/>
        <v>380</v>
      </c>
      <c r="H134" s="5"/>
      <c r="I134" s="5"/>
      <c r="J134" s="5"/>
      <c r="K134" s="9"/>
      <c r="L134" s="5"/>
    </row>
    <row r="135">
      <c r="A135" s="4" t="s">
        <v>216</v>
      </c>
      <c r="B135" s="5"/>
      <c r="C135" s="10" t="s">
        <v>215</v>
      </c>
      <c r="D135" s="4" t="s">
        <v>194</v>
      </c>
      <c r="E135" s="6">
        <v>380.0</v>
      </c>
      <c r="F135" s="7">
        <v>1.0</v>
      </c>
      <c r="G135" s="8">
        <f t="shared" si="11"/>
        <v>380</v>
      </c>
      <c r="H135" s="5"/>
      <c r="I135" s="5"/>
      <c r="J135" s="5"/>
      <c r="K135" s="9"/>
      <c r="L135" s="5"/>
    </row>
    <row r="136">
      <c r="A136" s="4" t="s">
        <v>217</v>
      </c>
      <c r="B136" s="5"/>
      <c r="C136" s="10" t="s">
        <v>215</v>
      </c>
      <c r="D136" s="4" t="s">
        <v>194</v>
      </c>
      <c r="E136" s="6">
        <v>380.0</v>
      </c>
      <c r="F136" s="7">
        <v>1.0</v>
      </c>
      <c r="G136" s="8">
        <f t="shared" si="11"/>
        <v>380</v>
      </c>
      <c r="H136" s="5"/>
      <c r="I136" s="5"/>
      <c r="J136" s="5"/>
      <c r="K136" s="9"/>
      <c r="L136" s="5"/>
    </row>
    <row r="137">
      <c r="A137" s="4" t="s">
        <v>218</v>
      </c>
      <c r="B137" s="5"/>
      <c r="C137" s="10" t="s">
        <v>219</v>
      </c>
      <c r="D137" s="4" t="s">
        <v>194</v>
      </c>
      <c r="E137" s="6">
        <v>780.0</v>
      </c>
      <c r="F137" s="7">
        <v>1.0</v>
      </c>
      <c r="G137" s="8">
        <f t="shared" si="11"/>
        <v>780</v>
      </c>
      <c r="H137" s="5" t="s">
        <v>62</v>
      </c>
      <c r="I137" s="5" t="s">
        <v>26</v>
      </c>
      <c r="J137" s="5"/>
      <c r="K137" s="12" t="str">
        <f t="shared" ref="K137:K146" si="12">_xludf.IFS(H137="SI",J137/F137,H137="NO",1)</f>
        <v>#NAME?</v>
      </c>
      <c r="L137" s="5"/>
    </row>
    <row r="138">
      <c r="A138" s="4" t="s">
        <v>220</v>
      </c>
      <c r="B138" s="5"/>
      <c r="C138" s="10" t="s">
        <v>221</v>
      </c>
      <c r="D138" s="4" t="s">
        <v>194</v>
      </c>
      <c r="E138" s="6">
        <v>960.0</v>
      </c>
      <c r="F138" s="7">
        <v>1.0</v>
      </c>
      <c r="G138" s="8">
        <f t="shared" si="11"/>
        <v>960</v>
      </c>
      <c r="H138" s="5" t="s">
        <v>62</v>
      </c>
      <c r="I138" s="5" t="s">
        <v>26</v>
      </c>
      <c r="J138" s="5"/>
      <c r="K138" s="12" t="str">
        <f t="shared" si="12"/>
        <v>#NAME?</v>
      </c>
      <c r="L138" s="5"/>
    </row>
    <row r="139">
      <c r="A139" s="4" t="s">
        <v>222</v>
      </c>
      <c r="B139" s="5"/>
      <c r="C139" s="10" t="s">
        <v>223</v>
      </c>
      <c r="D139" s="4" t="s">
        <v>194</v>
      </c>
      <c r="E139" s="6" t="e">
        <v>#REF!</v>
      </c>
      <c r="F139" s="7">
        <v>1.0</v>
      </c>
      <c r="G139" s="8" t="str">
        <f t="shared" si="11"/>
        <v>#REF!</v>
      </c>
      <c r="H139" s="5" t="s">
        <v>62</v>
      </c>
      <c r="I139" s="5" t="s">
        <v>26</v>
      </c>
      <c r="J139" s="5"/>
      <c r="K139" s="12" t="str">
        <f t="shared" si="12"/>
        <v>#NAME?</v>
      </c>
      <c r="L139" s="5"/>
    </row>
    <row r="140">
      <c r="A140" s="4" t="s">
        <v>224</v>
      </c>
      <c r="B140" s="5"/>
      <c r="C140" s="4" t="s">
        <v>225</v>
      </c>
      <c r="D140" s="4" t="s">
        <v>194</v>
      </c>
      <c r="E140" s="6" t="e">
        <v>#REF!</v>
      </c>
      <c r="F140" s="7">
        <v>1.0</v>
      </c>
      <c r="G140" s="8" t="str">
        <f t="shared" si="11"/>
        <v>#REF!</v>
      </c>
      <c r="H140" s="5" t="s">
        <v>62</v>
      </c>
      <c r="I140" s="5" t="s">
        <v>26</v>
      </c>
      <c r="J140" s="5"/>
      <c r="K140" s="12" t="str">
        <f t="shared" si="12"/>
        <v>#NAME?</v>
      </c>
      <c r="L140" s="5"/>
    </row>
    <row r="141">
      <c r="A141" s="21" t="s">
        <v>226</v>
      </c>
      <c r="B141" s="5"/>
      <c r="C141" s="10" t="s">
        <v>227</v>
      </c>
      <c r="D141" s="4" t="s">
        <v>194</v>
      </c>
      <c r="E141" s="6">
        <v>480.0</v>
      </c>
      <c r="F141" s="7">
        <v>1.0</v>
      </c>
      <c r="G141" s="8">
        <f t="shared" si="11"/>
        <v>480</v>
      </c>
      <c r="H141" s="5" t="s">
        <v>62</v>
      </c>
      <c r="I141" s="5" t="s">
        <v>26</v>
      </c>
      <c r="J141" s="5"/>
      <c r="K141" s="12" t="str">
        <f t="shared" si="12"/>
        <v>#NAME?</v>
      </c>
      <c r="L141" s="5"/>
    </row>
    <row r="142">
      <c r="A142" s="21" t="s">
        <v>228</v>
      </c>
      <c r="B142" s="5"/>
      <c r="C142" s="10" t="s">
        <v>229</v>
      </c>
      <c r="D142" s="4" t="s">
        <v>194</v>
      </c>
      <c r="E142" s="6">
        <v>480.0</v>
      </c>
      <c r="F142" s="7">
        <v>1.0</v>
      </c>
      <c r="G142" s="8">
        <f t="shared" si="11"/>
        <v>480</v>
      </c>
      <c r="H142" s="5" t="s">
        <v>62</v>
      </c>
      <c r="I142" s="5" t="s">
        <v>26</v>
      </c>
      <c r="J142" s="5"/>
      <c r="K142" s="12" t="str">
        <f t="shared" si="12"/>
        <v>#NAME?</v>
      </c>
      <c r="L142" s="5"/>
    </row>
    <row r="143">
      <c r="A143" s="21" t="s">
        <v>230</v>
      </c>
      <c r="B143" s="5"/>
      <c r="C143" s="10" t="s">
        <v>231</v>
      </c>
      <c r="D143" s="4" t="s">
        <v>194</v>
      </c>
      <c r="E143" s="6">
        <v>1625.0</v>
      </c>
      <c r="F143" s="7">
        <v>1.0</v>
      </c>
      <c r="G143" s="8">
        <f t="shared" si="11"/>
        <v>1625</v>
      </c>
      <c r="H143" s="5" t="s">
        <v>62</v>
      </c>
      <c r="I143" s="5" t="s">
        <v>26</v>
      </c>
      <c r="J143" s="5"/>
      <c r="K143" s="12" t="str">
        <f t="shared" si="12"/>
        <v>#NAME?</v>
      </c>
      <c r="L143" s="5"/>
    </row>
    <row r="144">
      <c r="A144" s="21" t="s">
        <v>232</v>
      </c>
      <c r="B144" s="5"/>
      <c r="C144" s="10" t="s">
        <v>231</v>
      </c>
      <c r="D144" s="4" t="s">
        <v>194</v>
      </c>
      <c r="E144" s="6">
        <v>1625.0</v>
      </c>
      <c r="F144" s="7">
        <v>1.0</v>
      </c>
      <c r="G144" s="8">
        <f t="shared" si="11"/>
        <v>1625</v>
      </c>
      <c r="H144" s="5" t="s">
        <v>62</v>
      </c>
      <c r="I144" s="5" t="s">
        <v>26</v>
      </c>
      <c r="J144" s="5"/>
      <c r="K144" s="12" t="str">
        <f t="shared" si="12"/>
        <v>#NAME?</v>
      </c>
      <c r="L144" s="5"/>
    </row>
    <row r="145">
      <c r="A145" s="21" t="s">
        <v>233</v>
      </c>
      <c r="B145" s="5"/>
      <c r="C145" s="10" t="s">
        <v>231</v>
      </c>
      <c r="D145" s="4" t="s">
        <v>194</v>
      </c>
      <c r="E145" s="6">
        <v>1625.0</v>
      </c>
      <c r="F145" s="7">
        <v>1.0</v>
      </c>
      <c r="G145" s="8">
        <f t="shared" si="11"/>
        <v>1625</v>
      </c>
      <c r="H145" s="5" t="s">
        <v>62</v>
      </c>
      <c r="I145" s="5" t="s">
        <v>26</v>
      </c>
      <c r="J145" s="5"/>
      <c r="K145" s="12" t="str">
        <f t="shared" si="12"/>
        <v>#NAME?</v>
      </c>
      <c r="L145" s="5"/>
    </row>
    <row r="146">
      <c r="A146" s="21" t="s">
        <v>234</v>
      </c>
      <c r="B146" s="5"/>
      <c r="C146" s="10" t="s">
        <v>231</v>
      </c>
      <c r="D146" s="4" t="s">
        <v>194</v>
      </c>
      <c r="E146" s="6">
        <v>1625.0</v>
      </c>
      <c r="F146" s="7">
        <v>1.0</v>
      </c>
      <c r="G146" s="8">
        <f t="shared" si="11"/>
        <v>1625</v>
      </c>
      <c r="H146" s="5" t="s">
        <v>62</v>
      </c>
      <c r="I146" s="5" t="s">
        <v>26</v>
      </c>
      <c r="J146" s="5"/>
      <c r="K146" s="12" t="str">
        <f t="shared" si="12"/>
        <v>#NAME?</v>
      </c>
      <c r="L146" s="5"/>
    </row>
    <row r="147">
      <c r="A147" s="21" t="s">
        <v>235</v>
      </c>
      <c r="B147" s="5"/>
      <c r="C147" s="10" t="s">
        <v>193</v>
      </c>
      <c r="D147" s="4" t="s">
        <v>194</v>
      </c>
      <c r="E147" s="6">
        <v>1140.0</v>
      </c>
      <c r="F147" s="7">
        <v>1.0</v>
      </c>
      <c r="G147" s="8">
        <f t="shared" si="11"/>
        <v>1140</v>
      </c>
      <c r="H147" s="5"/>
      <c r="I147" s="5"/>
      <c r="J147" s="5"/>
      <c r="K147" s="9"/>
      <c r="L147" s="5"/>
    </row>
    <row r="148">
      <c r="A148" s="21" t="s">
        <v>236</v>
      </c>
      <c r="B148" s="5"/>
      <c r="C148" s="10" t="s">
        <v>237</v>
      </c>
      <c r="D148" s="4" t="s">
        <v>194</v>
      </c>
      <c r="E148" s="6">
        <v>890.0</v>
      </c>
      <c r="F148" s="7">
        <v>1.0</v>
      </c>
      <c r="G148" s="8">
        <f t="shared" si="11"/>
        <v>890</v>
      </c>
      <c r="H148" s="5"/>
      <c r="I148" s="5"/>
      <c r="J148" s="5"/>
      <c r="K148" s="9"/>
      <c r="L148" s="5"/>
    </row>
    <row r="149">
      <c r="A149" s="4" t="s">
        <v>238</v>
      </c>
      <c r="B149" s="5"/>
      <c r="C149" s="10" t="s">
        <v>239</v>
      </c>
      <c r="D149" s="4" t="s">
        <v>194</v>
      </c>
      <c r="E149" s="6">
        <v>630.0</v>
      </c>
      <c r="F149" s="7">
        <v>1.0</v>
      </c>
      <c r="G149" s="8">
        <f t="shared" si="11"/>
        <v>630</v>
      </c>
      <c r="H149" s="5"/>
      <c r="I149" s="5"/>
      <c r="J149" s="5"/>
      <c r="K149" s="9"/>
      <c r="L149" s="5"/>
    </row>
    <row r="150">
      <c r="A150" s="4" t="s">
        <v>240</v>
      </c>
      <c r="B150" s="5"/>
      <c r="C150" s="10" t="s">
        <v>241</v>
      </c>
      <c r="D150" s="4" t="s">
        <v>194</v>
      </c>
      <c r="E150" s="6">
        <v>280.0</v>
      </c>
      <c r="F150" s="7">
        <v>1.0</v>
      </c>
      <c r="G150" s="8">
        <f t="shared" si="11"/>
        <v>280</v>
      </c>
      <c r="H150" s="5"/>
      <c r="I150" s="5"/>
      <c r="J150" s="5"/>
      <c r="K150" s="9"/>
      <c r="L150" s="5"/>
    </row>
    <row r="151">
      <c r="A151" s="4" t="s">
        <v>242</v>
      </c>
      <c r="B151" s="5"/>
      <c r="C151" s="10">
        <v>194.0</v>
      </c>
      <c r="D151" s="4" t="s">
        <v>194</v>
      </c>
      <c r="E151" s="6">
        <v>250.0</v>
      </c>
      <c r="F151" s="7">
        <v>1.0</v>
      </c>
      <c r="G151" s="8">
        <f t="shared" si="11"/>
        <v>250</v>
      </c>
      <c r="H151" s="5"/>
      <c r="I151" s="5"/>
      <c r="J151" s="5"/>
      <c r="K151" s="9"/>
      <c r="L151" s="5"/>
    </row>
    <row r="152">
      <c r="A152" s="4" t="s">
        <v>243</v>
      </c>
      <c r="B152" s="5"/>
      <c r="C152" s="10" t="s">
        <v>244</v>
      </c>
      <c r="D152" s="4" t="s">
        <v>194</v>
      </c>
      <c r="E152" s="6">
        <v>250.0</v>
      </c>
      <c r="F152" s="7">
        <v>1.0</v>
      </c>
      <c r="G152" s="8">
        <f t="shared" si="11"/>
        <v>250</v>
      </c>
      <c r="H152" s="5"/>
      <c r="I152" s="5"/>
      <c r="J152" s="5"/>
      <c r="K152" s="9"/>
      <c r="L152" s="5"/>
    </row>
    <row r="153">
      <c r="A153" s="4" t="s">
        <v>245</v>
      </c>
      <c r="B153" s="5"/>
      <c r="C153" s="10">
        <v>1213.0</v>
      </c>
      <c r="D153" s="4" t="s">
        <v>194</v>
      </c>
      <c r="E153" s="6">
        <v>250.0</v>
      </c>
      <c r="F153" s="7">
        <v>1.0</v>
      </c>
      <c r="G153" s="8">
        <f t="shared" si="11"/>
        <v>250</v>
      </c>
      <c r="H153" s="5"/>
      <c r="I153" s="5"/>
      <c r="J153" s="5"/>
      <c r="K153" s="9"/>
      <c r="L153" s="5"/>
    </row>
    <row r="154">
      <c r="A154" s="4" t="s">
        <v>246</v>
      </c>
      <c r="B154" s="5"/>
      <c r="C154" s="10">
        <v>1810.0</v>
      </c>
      <c r="D154" s="4" t="s">
        <v>194</v>
      </c>
      <c r="E154" s="6">
        <v>925.0</v>
      </c>
      <c r="F154" s="7">
        <v>1.0</v>
      </c>
      <c r="G154" s="8">
        <f t="shared" si="11"/>
        <v>925</v>
      </c>
      <c r="H154" s="5" t="s">
        <v>62</v>
      </c>
      <c r="I154" s="5" t="s">
        <v>26</v>
      </c>
      <c r="J154" s="5"/>
      <c r="K154" s="12" t="str">
        <f>_xludf.IFS(H154="SI",J154/F154,H154="NO",1)</f>
        <v>#NAME?</v>
      </c>
      <c r="L154" s="5"/>
    </row>
    <row r="155">
      <c r="A155" s="4" t="s">
        <v>247</v>
      </c>
      <c r="B155" s="5"/>
      <c r="C155" s="10">
        <v>1811.0</v>
      </c>
      <c r="D155" s="4" t="s">
        <v>194</v>
      </c>
      <c r="E155" s="6">
        <v>925.0</v>
      </c>
      <c r="F155" s="7">
        <v>1.0</v>
      </c>
      <c r="G155" s="8">
        <f t="shared" si="11"/>
        <v>925</v>
      </c>
      <c r="H155" s="5"/>
      <c r="I155" s="5"/>
      <c r="J155" s="5"/>
      <c r="K155" s="9"/>
      <c r="L155" s="5"/>
    </row>
    <row r="156">
      <c r="A156" s="4" t="s">
        <v>248</v>
      </c>
      <c r="B156" s="5"/>
      <c r="C156" s="10" t="s">
        <v>249</v>
      </c>
      <c r="D156" s="4" t="s">
        <v>194</v>
      </c>
      <c r="E156" s="6">
        <v>890.0</v>
      </c>
      <c r="F156" s="7">
        <v>1.0</v>
      </c>
      <c r="G156" s="8">
        <f t="shared" si="11"/>
        <v>890</v>
      </c>
      <c r="H156" s="5"/>
      <c r="I156" s="5"/>
      <c r="J156" s="5"/>
      <c r="K156" s="9"/>
      <c r="L156" s="5"/>
    </row>
    <row r="157">
      <c r="A157" s="4" t="s">
        <v>250</v>
      </c>
      <c r="B157" s="5"/>
      <c r="C157" s="10" t="s">
        <v>249</v>
      </c>
      <c r="D157" s="4" t="s">
        <v>194</v>
      </c>
      <c r="E157" s="6">
        <v>890.0</v>
      </c>
      <c r="F157" s="7">
        <v>1.0</v>
      </c>
      <c r="G157" s="8">
        <f t="shared" si="11"/>
        <v>890</v>
      </c>
      <c r="H157" s="5"/>
      <c r="I157" s="5"/>
      <c r="J157" s="5"/>
      <c r="K157" s="9"/>
      <c r="L157" s="5"/>
    </row>
    <row r="158">
      <c r="A158" s="4" t="s">
        <v>251</v>
      </c>
      <c r="B158" s="5"/>
      <c r="C158" s="10">
        <v>6901.0</v>
      </c>
      <c r="D158" s="4" t="s">
        <v>194</v>
      </c>
      <c r="E158" s="6">
        <v>760.0</v>
      </c>
      <c r="F158" s="7">
        <v>1.0</v>
      </c>
      <c r="G158" s="8">
        <f t="shared" si="11"/>
        <v>760</v>
      </c>
      <c r="H158" s="5" t="s">
        <v>62</v>
      </c>
      <c r="I158" s="5" t="s">
        <v>26</v>
      </c>
      <c r="J158" s="5"/>
      <c r="K158" s="12" t="str">
        <f>_xludf.IFS(H158="SI",J158/F158,H158="NO",1)</f>
        <v>#NAME?</v>
      </c>
      <c r="L158" s="5"/>
    </row>
    <row r="159">
      <c r="A159" s="4" t="s">
        <v>252</v>
      </c>
      <c r="B159" s="5"/>
      <c r="C159" s="10">
        <v>15160.0</v>
      </c>
      <c r="D159" s="4" t="s">
        <v>194</v>
      </c>
      <c r="E159" s="6">
        <v>275.0</v>
      </c>
      <c r="F159" s="7">
        <v>1.0</v>
      </c>
      <c r="G159" s="8">
        <f t="shared" si="11"/>
        <v>275</v>
      </c>
      <c r="H159" s="5"/>
      <c r="I159" s="5"/>
      <c r="J159" s="5"/>
      <c r="K159" s="9"/>
      <c r="L159" s="5"/>
    </row>
    <row r="160">
      <c r="A160" s="4" t="s">
        <v>253</v>
      </c>
      <c r="B160" s="5"/>
      <c r="C160" s="10" t="s">
        <v>254</v>
      </c>
      <c r="D160" s="4" t="s">
        <v>194</v>
      </c>
      <c r="E160" s="6">
        <v>395.0</v>
      </c>
      <c r="F160" s="7">
        <v>1.0</v>
      </c>
      <c r="G160" s="8">
        <f t="shared" si="11"/>
        <v>395</v>
      </c>
      <c r="H160" s="5"/>
      <c r="I160" s="5"/>
      <c r="J160" s="5"/>
      <c r="K160" s="9"/>
      <c r="L160" s="5"/>
    </row>
    <row r="161">
      <c r="A161" s="13" t="s">
        <v>255</v>
      </c>
      <c r="B161" s="5"/>
      <c r="C161" s="10">
        <v>1518.0</v>
      </c>
      <c r="D161" s="4" t="s">
        <v>194</v>
      </c>
      <c r="E161" s="6">
        <v>1550.0</v>
      </c>
      <c r="F161" s="7">
        <v>1.0</v>
      </c>
      <c r="G161" s="8">
        <f t="shared" si="11"/>
        <v>1550</v>
      </c>
      <c r="H161" s="5" t="s">
        <v>62</v>
      </c>
      <c r="I161" s="5" t="s">
        <v>26</v>
      </c>
      <c r="J161" s="5"/>
      <c r="K161" s="12" t="str">
        <f t="shared" ref="K161:K163" si="13">_xludf.IFS(H161="SI",J161/F161,H161="NO",1)</f>
        <v>#NAME?</v>
      </c>
      <c r="L161" s="5"/>
    </row>
    <row r="162">
      <c r="A162" s="13" t="s">
        <v>256</v>
      </c>
      <c r="B162" s="5"/>
      <c r="C162" s="14">
        <v>13300.0</v>
      </c>
      <c r="D162" s="4" t="s">
        <v>194</v>
      </c>
      <c r="E162" s="6">
        <v>470.0</v>
      </c>
      <c r="F162" s="7">
        <v>1.0</v>
      </c>
      <c r="G162" s="8">
        <f t="shared" si="11"/>
        <v>470</v>
      </c>
      <c r="H162" s="5" t="s">
        <v>62</v>
      </c>
      <c r="I162" s="5" t="s">
        <v>26</v>
      </c>
      <c r="J162" s="5"/>
      <c r="K162" s="12" t="str">
        <f t="shared" si="13"/>
        <v>#NAME?</v>
      </c>
      <c r="L162" s="5"/>
    </row>
    <row r="163">
      <c r="A163" s="13" t="s">
        <v>257</v>
      </c>
      <c r="B163" s="5"/>
      <c r="C163" s="14">
        <v>13301.0</v>
      </c>
      <c r="D163" s="4" t="s">
        <v>194</v>
      </c>
      <c r="E163" s="6">
        <v>470.0</v>
      </c>
      <c r="F163" s="7">
        <v>1.0</v>
      </c>
      <c r="G163" s="8">
        <f t="shared" si="11"/>
        <v>470</v>
      </c>
      <c r="H163" s="5" t="s">
        <v>62</v>
      </c>
      <c r="I163" s="5" t="s">
        <v>26</v>
      </c>
      <c r="J163" s="5"/>
      <c r="K163" s="12" t="str">
        <f t="shared" si="13"/>
        <v>#NAME?</v>
      </c>
      <c r="L163" s="5"/>
    </row>
    <row r="164">
      <c r="A164" s="13" t="s">
        <v>258</v>
      </c>
      <c r="B164" s="5"/>
      <c r="C164" s="14">
        <v>510.0</v>
      </c>
      <c r="D164" s="4" t="s">
        <v>194</v>
      </c>
      <c r="E164" s="6">
        <v>1170.0</v>
      </c>
      <c r="F164" s="7">
        <v>1.0</v>
      </c>
      <c r="G164" s="8">
        <f t="shared" si="11"/>
        <v>1170</v>
      </c>
      <c r="H164" s="5"/>
      <c r="I164" s="5"/>
      <c r="J164" s="5"/>
      <c r="K164" s="9"/>
      <c r="L164" s="5"/>
    </row>
    <row r="165">
      <c r="A165" s="4" t="s">
        <v>259</v>
      </c>
      <c r="B165" s="5"/>
      <c r="C165" s="10">
        <v>10002.0</v>
      </c>
      <c r="D165" s="4" t="s">
        <v>194</v>
      </c>
      <c r="E165" s="6" t="e">
        <v>#REF!</v>
      </c>
      <c r="F165" s="7">
        <v>1.0</v>
      </c>
      <c r="G165" s="8" t="str">
        <f t="shared" si="11"/>
        <v>#REF!</v>
      </c>
      <c r="H165" s="5" t="s">
        <v>62</v>
      </c>
      <c r="I165" s="5" t="s">
        <v>26</v>
      </c>
      <c r="J165" s="5"/>
      <c r="K165" s="12" t="str">
        <f t="shared" ref="K165:K166" si="14">_xludf.IFS(H165="SI",J165/F165,H165="NO",1)</f>
        <v>#NAME?</v>
      </c>
      <c r="L165" s="5"/>
    </row>
    <row r="166">
      <c r="A166" s="4" t="s">
        <v>260</v>
      </c>
      <c r="B166" s="5"/>
      <c r="C166" s="10">
        <v>10003.0</v>
      </c>
      <c r="D166" s="4" t="s">
        <v>194</v>
      </c>
      <c r="E166" s="6" t="e">
        <v>#REF!</v>
      </c>
      <c r="F166" s="7">
        <v>1.0</v>
      </c>
      <c r="G166" s="8" t="str">
        <f t="shared" si="11"/>
        <v>#REF!</v>
      </c>
      <c r="H166" s="5" t="s">
        <v>62</v>
      </c>
      <c r="I166" s="5" t="s">
        <v>26</v>
      </c>
      <c r="J166" s="5"/>
      <c r="K166" s="12" t="str">
        <f t="shared" si="14"/>
        <v>#NAME?</v>
      </c>
      <c r="L166" s="5"/>
    </row>
    <row r="167">
      <c r="A167" s="4" t="s">
        <v>261</v>
      </c>
      <c r="B167" s="5"/>
      <c r="C167" s="10">
        <v>10004.0</v>
      </c>
      <c r="D167" s="4" t="s">
        <v>194</v>
      </c>
      <c r="E167" s="6" t="e">
        <v>#REF!</v>
      </c>
      <c r="F167" s="7">
        <v>1.0</v>
      </c>
      <c r="G167" s="8" t="str">
        <f t="shared" si="11"/>
        <v>#REF!</v>
      </c>
      <c r="H167" s="5"/>
      <c r="I167" s="5"/>
      <c r="J167" s="5"/>
      <c r="K167" s="9"/>
      <c r="L167" s="5"/>
    </row>
    <row r="168">
      <c r="A168" s="4" t="s">
        <v>262</v>
      </c>
      <c r="B168" s="5"/>
      <c r="C168" s="10">
        <v>10005.0</v>
      </c>
      <c r="D168" s="4" t="s">
        <v>194</v>
      </c>
      <c r="E168" s="6" t="e">
        <v>#REF!</v>
      </c>
      <c r="F168" s="7">
        <v>1.0</v>
      </c>
      <c r="G168" s="8" t="str">
        <f t="shared" si="11"/>
        <v>#REF!</v>
      </c>
      <c r="H168" s="5" t="s">
        <v>62</v>
      </c>
      <c r="I168" s="5" t="s">
        <v>26</v>
      </c>
      <c r="J168" s="5"/>
      <c r="K168" s="12" t="str">
        <f>_xludf.IFS(H168="SI",J168/F168,H168="NO",1)</f>
        <v>#NAME?</v>
      </c>
      <c r="L168" s="5"/>
    </row>
    <row r="169">
      <c r="A169" s="21" t="s">
        <v>263</v>
      </c>
      <c r="B169" s="5"/>
      <c r="C169" s="10" t="s">
        <v>264</v>
      </c>
      <c r="D169" s="4" t="s">
        <v>194</v>
      </c>
      <c r="E169" s="6">
        <v>360.0</v>
      </c>
      <c r="F169" s="7">
        <v>1.0</v>
      </c>
      <c r="G169" s="8">
        <f t="shared" si="11"/>
        <v>360</v>
      </c>
      <c r="H169" s="5"/>
      <c r="I169" s="5"/>
      <c r="J169" s="5"/>
      <c r="K169" s="9"/>
      <c r="L169" s="5"/>
    </row>
    <row r="170">
      <c r="A170" s="21" t="s">
        <v>265</v>
      </c>
      <c r="B170" s="5"/>
      <c r="C170" s="10" t="s">
        <v>266</v>
      </c>
      <c r="D170" s="4" t="s">
        <v>194</v>
      </c>
      <c r="E170" s="6">
        <v>360.0</v>
      </c>
      <c r="F170" s="7">
        <v>1.0</v>
      </c>
      <c r="G170" s="8">
        <f t="shared" si="11"/>
        <v>360</v>
      </c>
      <c r="H170" s="5"/>
      <c r="I170" s="5"/>
      <c r="J170" s="5"/>
      <c r="K170" s="9"/>
      <c r="L170" s="5"/>
    </row>
    <row r="171">
      <c r="A171" s="21" t="s">
        <v>267</v>
      </c>
      <c r="B171" s="5"/>
      <c r="C171" s="10" t="s">
        <v>268</v>
      </c>
      <c r="D171" s="4" t="s">
        <v>194</v>
      </c>
      <c r="E171" s="6">
        <v>360.0</v>
      </c>
      <c r="F171" s="7">
        <v>1.0</v>
      </c>
      <c r="G171" s="8">
        <f t="shared" si="11"/>
        <v>360</v>
      </c>
      <c r="H171" s="5"/>
      <c r="I171" s="5"/>
      <c r="J171" s="5"/>
      <c r="K171" s="9"/>
      <c r="L171" s="5"/>
    </row>
    <row r="172">
      <c r="A172" s="4" t="s">
        <v>269</v>
      </c>
      <c r="B172" s="5"/>
      <c r="C172" s="10" t="s">
        <v>270</v>
      </c>
      <c r="D172" s="4" t="s">
        <v>194</v>
      </c>
      <c r="E172" s="6">
        <v>1000.0</v>
      </c>
      <c r="F172" s="7">
        <v>1.0</v>
      </c>
      <c r="G172" s="8">
        <f t="shared" si="11"/>
        <v>1000</v>
      </c>
      <c r="H172" s="5"/>
      <c r="I172" s="5"/>
      <c r="J172" s="5"/>
      <c r="K172" s="9"/>
      <c r="L172" s="5"/>
    </row>
    <row r="173">
      <c r="A173" s="13" t="s">
        <v>271</v>
      </c>
      <c r="B173" s="5"/>
      <c r="C173" s="14">
        <v>1002.0</v>
      </c>
      <c r="D173" s="4" t="s">
        <v>194</v>
      </c>
      <c r="E173" s="6">
        <v>269.9</v>
      </c>
      <c r="F173" s="7">
        <v>1.0</v>
      </c>
      <c r="G173" s="8">
        <f t="shared" si="11"/>
        <v>269.9</v>
      </c>
      <c r="H173" s="5" t="s">
        <v>62</v>
      </c>
      <c r="I173" s="5" t="s">
        <v>26</v>
      </c>
      <c r="J173" s="5"/>
      <c r="K173" s="12" t="str">
        <f t="shared" ref="K173:K174" si="15">_xludf.IFS(H173="SI",J173/F173,H173="NO",1)</f>
        <v>#NAME?</v>
      </c>
      <c r="L173" s="5"/>
    </row>
    <row r="174">
      <c r="A174" s="13" t="s">
        <v>272</v>
      </c>
      <c r="B174" s="5"/>
      <c r="C174" s="14">
        <v>1003.0</v>
      </c>
      <c r="D174" s="4" t="s">
        <v>194</v>
      </c>
      <c r="E174" s="6">
        <v>269.9</v>
      </c>
      <c r="F174" s="7">
        <v>1.0</v>
      </c>
      <c r="G174" s="8">
        <f t="shared" si="11"/>
        <v>269.9</v>
      </c>
      <c r="H174" s="5" t="s">
        <v>62</v>
      </c>
      <c r="I174" s="5" t="s">
        <v>26</v>
      </c>
      <c r="J174" s="5"/>
      <c r="K174" s="12" t="str">
        <f t="shared" si="15"/>
        <v>#NAME?</v>
      </c>
      <c r="L174" s="5"/>
    </row>
    <row r="175">
      <c r="A175" s="13" t="s">
        <v>273</v>
      </c>
      <c r="B175" s="5"/>
      <c r="C175" s="14">
        <v>1005.0</v>
      </c>
      <c r="D175" s="4" t="s">
        <v>194</v>
      </c>
      <c r="E175" s="6">
        <v>269.9</v>
      </c>
      <c r="F175" s="7">
        <v>1.0</v>
      </c>
      <c r="G175" s="8">
        <f t="shared" si="11"/>
        <v>269.9</v>
      </c>
      <c r="H175" s="5"/>
      <c r="I175" s="5"/>
      <c r="J175" s="5"/>
      <c r="K175" s="9"/>
      <c r="L175" s="5"/>
    </row>
    <row r="176">
      <c r="A176" s="13" t="s">
        <v>274</v>
      </c>
      <c r="B176" s="5"/>
      <c r="C176" s="14">
        <v>15733.0</v>
      </c>
      <c r="D176" s="4" t="s">
        <v>194</v>
      </c>
      <c r="E176" s="6">
        <v>470.0</v>
      </c>
      <c r="F176" s="7">
        <v>1.0</v>
      </c>
      <c r="G176" s="8">
        <f t="shared" si="11"/>
        <v>470</v>
      </c>
      <c r="H176" s="5"/>
      <c r="I176" s="5"/>
      <c r="J176" s="5"/>
      <c r="K176" s="9"/>
      <c r="L176" s="5"/>
    </row>
    <row r="177">
      <c r="A177" s="13" t="s">
        <v>275</v>
      </c>
      <c r="B177" s="5"/>
      <c r="C177" s="14">
        <v>218.0</v>
      </c>
      <c r="D177" s="4" t="s">
        <v>194</v>
      </c>
      <c r="E177" s="6" t="e">
        <v>#REF!</v>
      </c>
      <c r="F177" s="7">
        <v>1.0</v>
      </c>
      <c r="G177" s="8" t="str">
        <f t="shared" si="11"/>
        <v>#REF!</v>
      </c>
      <c r="H177" s="5"/>
      <c r="I177" s="5"/>
      <c r="J177" s="5"/>
      <c r="K177" s="9"/>
      <c r="L177" s="5"/>
    </row>
    <row r="178">
      <c r="A178" s="13" t="s">
        <v>276</v>
      </c>
      <c r="B178" s="5"/>
      <c r="C178" s="10">
        <v>1006.0</v>
      </c>
      <c r="D178" s="4" t="s">
        <v>194</v>
      </c>
      <c r="E178" s="6">
        <v>430.0</v>
      </c>
      <c r="F178" s="7">
        <v>1.0</v>
      </c>
      <c r="G178" s="8">
        <f t="shared" si="11"/>
        <v>430</v>
      </c>
      <c r="H178" s="5" t="s">
        <v>62</v>
      </c>
      <c r="I178" s="5" t="s">
        <v>26</v>
      </c>
      <c r="J178" s="5"/>
      <c r="K178" s="12" t="str">
        <f>_xludf.IFS(H178="SI",J178/F178,H178="NO",1)</f>
        <v>#NAME?</v>
      </c>
      <c r="L178" s="5"/>
    </row>
    <row r="179">
      <c r="A179" s="4" t="s">
        <v>277</v>
      </c>
      <c r="B179" s="5"/>
      <c r="C179" s="10" t="s">
        <v>278</v>
      </c>
      <c r="D179" s="4" t="s">
        <v>194</v>
      </c>
      <c r="E179" s="6">
        <v>812.5</v>
      </c>
      <c r="F179" s="7">
        <v>1.0</v>
      </c>
      <c r="G179" s="8">
        <f t="shared" si="11"/>
        <v>812.5</v>
      </c>
      <c r="H179" s="5"/>
      <c r="I179" s="5"/>
      <c r="J179" s="5"/>
      <c r="K179" s="9"/>
      <c r="L179" s="5"/>
    </row>
    <row r="180">
      <c r="A180" s="4" t="s">
        <v>279</v>
      </c>
      <c r="B180" s="5"/>
      <c r="C180" s="10" t="s">
        <v>280</v>
      </c>
      <c r="D180" s="4" t="s">
        <v>281</v>
      </c>
      <c r="E180" s="6">
        <v>1490.0</v>
      </c>
      <c r="F180" s="7">
        <v>1.0</v>
      </c>
      <c r="G180" s="8">
        <f t="shared" si="11"/>
        <v>1490</v>
      </c>
      <c r="H180" s="5"/>
      <c r="I180" s="5"/>
      <c r="J180" s="5"/>
      <c r="K180" s="9"/>
      <c r="L180" s="5"/>
    </row>
    <row r="181">
      <c r="A181" s="22" t="s">
        <v>282</v>
      </c>
      <c r="B181" s="5"/>
      <c r="C181" s="10" t="s">
        <v>283</v>
      </c>
      <c r="D181" s="4" t="s">
        <v>281</v>
      </c>
      <c r="E181" s="6">
        <v>6840.9</v>
      </c>
      <c r="F181" s="7">
        <v>48.0</v>
      </c>
      <c r="G181" s="8">
        <f t="shared" si="11"/>
        <v>142.51875</v>
      </c>
      <c r="H181" s="5"/>
      <c r="I181" s="5"/>
      <c r="J181" s="5"/>
      <c r="K181" s="9"/>
      <c r="L181" s="11" t="s">
        <v>20</v>
      </c>
    </row>
    <row r="182">
      <c r="A182" s="22" t="s">
        <v>284</v>
      </c>
      <c r="B182" s="5"/>
      <c r="C182" s="10" t="s">
        <v>285</v>
      </c>
      <c r="D182" s="4" t="s">
        <v>281</v>
      </c>
      <c r="E182" s="6">
        <v>3370.0</v>
      </c>
      <c r="F182" s="7">
        <v>48.0</v>
      </c>
      <c r="G182" s="8">
        <f t="shared" si="11"/>
        <v>70.20833333</v>
      </c>
      <c r="H182" s="5"/>
      <c r="I182" s="5"/>
      <c r="J182" s="5"/>
      <c r="K182" s="9"/>
      <c r="L182" s="11" t="s">
        <v>20</v>
      </c>
    </row>
    <row r="183">
      <c r="A183" s="22" t="s">
        <v>286</v>
      </c>
      <c r="B183" s="5"/>
      <c r="C183" s="10" t="s">
        <v>287</v>
      </c>
      <c r="D183" s="4" t="s">
        <v>281</v>
      </c>
      <c r="E183" s="6">
        <v>3992.0</v>
      </c>
      <c r="F183" s="7">
        <v>15.0</v>
      </c>
      <c r="G183" s="8">
        <f t="shared" si="11"/>
        <v>266.1333333</v>
      </c>
      <c r="H183" s="5"/>
      <c r="I183" s="5"/>
      <c r="J183" s="5"/>
      <c r="K183" s="9"/>
      <c r="L183" s="11" t="s">
        <v>20</v>
      </c>
    </row>
    <row r="184">
      <c r="A184" s="22" t="s">
        <v>288</v>
      </c>
      <c r="B184" s="5"/>
      <c r="C184" s="10" t="s">
        <v>289</v>
      </c>
      <c r="D184" s="4" t="s">
        <v>281</v>
      </c>
      <c r="E184" s="6">
        <v>6950.0</v>
      </c>
      <c r="F184" s="7">
        <v>20.0</v>
      </c>
      <c r="G184" s="8">
        <f t="shared" si="11"/>
        <v>347.5</v>
      </c>
      <c r="H184" s="5"/>
      <c r="I184" s="5"/>
      <c r="J184" s="5"/>
      <c r="K184" s="9"/>
      <c r="L184" s="11" t="s">
        <v>20</v>
      </c>
    </row>
    <row r="185">
      <c r="A185" s="22" t="s">
        <v>290</v>
      </c>
      <c r="B185" s="5"/>
      <c r="C185" s="10" t="s">
        <v>291</v>
      </c>
      <c r="D185" s="4" t="s">
        <v>281</v>
      </c>
      <c r="E185" s="6">
        <v>6950.0</v>
      </c>
      <c r="F185" s="7">
        <v>20.0</v>
      </c>
      <c r="G185" s="8">
        <f t="shared" si="11"/>
        <v>347.5</v>
      </c>
      <c r="H185" s="5"/>
      <c r="I185" s="5"/>
      <c r="J185" s="5"/>
      <c r="K185" s="9"/>
      <c r="L185" s="11" t="s">
        <v>20</v>
      </c>
    </row>
    <row r="186">
      <c r="A186" s="22" t="s">
        <v>292</v>
      </c>
      <c r="B186" s="5"/>
      <c r="C186" s="10" t="s">
        <v>293</v>
      </c>
      <c r="D186" s="4" t="s">
        <v>281</v>
      </c>
      <c r="E186" s="6">
        <v>5560.0</v>
      </c>
      <c r="F186" s="7">
        <v>24.0</v>
      </c>
      <c r="G186" s="8">
        <f t="shared" si="11"/>
        <v>231.6666667</v>
      </c>
      <c r="H186" s="5"/>
      <c r="I186" s="5"/>
      <c r="J186" s="5"/>
      <c r="K186" s="9"/>
      <c r="L186" s="11" t="s">
        <v>20</v>
      </c>
    </row>
    <row r="187">
      <c r="A187" s="22" t="s">
        <v>294</v>
      </c>
      <c r="B187" s="5"/>
      <c r="C187" s="10" t="s">
        <v>295</v>
      </c>
      <c r="D187" s="4" t="s">
        <v>281</v>
      </c>
      <c r="E187" s="6">
        <v>6240.0</v>
      </c>
      <c r="F187" s="7">
        <v>36.0</v>
      </c>
      <c r="G187" s="8">
        <f t="shared" si="11"/>
        <v>173.3333333</v>
      </c>
      <c r="H187" s="5"/>
      <c r="I187" s="5"/>
      <c r="J187" s="5"/>
      <c r="K187" s="9"/>
      <c r="L187" s="11" t="s">
        <v>20</v>
      </c>
    </row>
    <row r="188">
      <c r="A188" s="22" t="s">
        <v>296</v>
      </c>
      <c r="B188" s="5"/>
      <c r="C188" s="10">
        <v>12755.0</v>
      </c>
      <c r="D188" s="4" t="s">
        <v>281</v>
      </c>
      <c r="E188" s="6">
        <v>5890.0</v>
      </c>
      <c r="F188" s="7">
        <v>30.0</v>
      </c>
      <c r="G188" s="8">
        <f t="shared" si="11"/>
        <v>196.3333333</v>
      </c>
      <c r="H188" s="5"/>
      <c r="I188" s="5"/>
      <c r="J188" s="5"/>
      <c r="K188" s="9"/>
      <c r="L188" s="11" t="s">
        <v>20</v>
      </c>
    </row>
    <row r="189">
      <c r="A189" s="22" t="s">
        <v>297</v>
      </c>
      <c r="B189" s="5"/>
      <c r="C189" s="10" t="s">
        <v>298</v>
      </c>
      <c r="D189" s="4" t="s">
        <v>281</v>
      </c>
      <c r="E189" s="6">
        <v>3660.0</v>
      </c>
      <c r="F189" s="7">
        <v>15.0</v>
      </c>
      <c r="G189" s="8">
        <f t="shared" si="11"/>
        <v>244</v>
      </c>
      <c r="H189" s="5"/>
      <c r="I189" s="5"/>
      <c r="J189" s="5"/>
      <c r="K189" s="9"/>
      <c r="L189" s="11" t="s">
        <v>20</v>
      </c>
    </row>
    <row r="190">
      <c r="A190" s="22" t="s">
        <v>299</v>
      </c>
      <c r="B190" s="5"/>
      <c r="C190" s="10" t="s">
        <v>300</v>
      </c>
      <c r="D190" s="4" t="s">
        <v>281</v>
      </c>
      <c r="E190" s="6">
        <v>2460.0</v>
      </c>
      <c r="F190" s="7">
        <v>10.0</v>
      </c>
      <c r="G190" s="8">
        <f t="shared" si="11"/>
        <v>246</v>
      </c>
      <c r="H190" s="5"/>
      <c r="I190" s="5"/>
      <c r="J190" s="5"/>
      <c r="K190" s="9"/>
      <c r="L190" s="11" t="s">
        <v>20</v>
      </c>
    </row>
    <row r="191">
      <c r="A191" s="22" t="s">
        <v>301</v>
      </c>
      <c r="B191" s="5"/>
      <c r="C191" s="10">
        <v>462.0</v>
      </c>
      <c r="D191" s="4" t="s">
        <v>281</v>
      </c>
      <c r="E191" s="6">
        <v>2460.0</v>
      </c>
      <c r="F191" s="7">
        <v>10.0</v>
      </c>
      <c r="G191" s="8">
        <f t="shared" si="11"/>
        <v>246</v>
      </c>
      <c r="H191" s="5"/>
      <c r="I191" s="5"/>
      <c r="J191" s="5"/>
      <c r="K191" s="9"/>
      <c r="L191" s="11" t="s">
        <v>20</v>
      </c>
    </row>
    <row r="192">
      <c r="A192" s="11" t="s">
        <v>302</v>
      </c>
      <c r="B192" s="5"/>
      <c r="C192" s="14">
        <v>401.0</v>
      </c>
      <c r="D192" s="4" t="s">
        <v>281</v>
      </c>
      <c r="E192" s="6">
        <v>9670.0</v>
      </c>
      <c r="F192" s="7">
        <v>10.0</v>
      </c>
      <c r="G192" s="8">
        <f t="shared" si="11"/>
        <v>967</v>
      </c>
      <c r="H192" s="5" t="s">
        <v>62</v>
      </c>
      <c r="I192" s="5" t="s">
        <v>26</v>
      </c>
      <c r="J192" s="5"/>
      <c r="K192" s="12" t="str">
        <f>_xludf.IFS(H192="SI",J192/F192,H192="NO",1)</f>
        <v>#NAME?</v>
      </c>
      <c r="L192" s="5" t="s">
        <v>303</v>
      </c>
    </row>
    <row r="193">
      <c r="A193" s="13" t="s">
        <v>304</v>
      </c>
      <c r="B193" s="5"/>
      <c r="C193" s="14">
        <v>349.0</v>
      </c>
      <c r="D193" s="4" t="s">
        <v>281</v>
      </c>
      <c r="E193" s="6">
        <v>9670.0</v>
      </c>
      <c r="F193" s="7">
        <v>1.0</v>
      </c>
      <c r="G193" s="8">
        <f t="shared" si="11"/>
        <v>9670</v>
      </c>
      <c r="H193" s="5"/>
      <c r="I193" s="5"/>
      <c r="J193" s="5"/>
      <c r="K193" s="9"/>
      <c r="L193" s="5"/>
    </row>
    <row r="194">
      <c r="A194" s="13" t="s">
        <v>305</v>
      </c>
      <c r="B194" s="5"/>
      <c r="C194" s="14">
        <v>402.0</v>
      </c>
      <c r="D194" s="4" t="s">
        <v>281</v>
      </c>
      <c r="E194" s="6">
        <v>9670.0</v>
      </c>
      <c r="F194" s="7">
        <v>1.0</v>
      </c>
      <c r="G194" s="8">
        <f t="shared" si="11"/>
        <v>9670</v>
      </c>
      <c r="H194" s="5" t="s">
        <v>62</v>
      </c>
      <c r="I194" s="5" t="s">
        <v>26</v>
      </c>
      <c r="J194" s="5"/>
      <c r="K194" s="12" t="str">
        <f t="shared" ref="K194:K198" si="16">_xludf.IFS(H194="SI",J194/F194,H194="NO",1)</f>
        <v>#NAME?</v>
      </c>
      <c r="L194" s="5"/>
    </row>
    <row r="195">
      <c r="A195" s="13" t="s">
        <v>306</v>
      </c>
      <c r="B195" s="5"/>
      <c r="C195" s="14">
        <v>321.0</v>
      </c>
      <c r="D195" s="4" t="s">
        <v>281</v>
      </c>
      <c r="E195" s="6">
        <v>9670.0</v>
      </c>
      <c r="F195" s="7">
        <v>1.0</v>
      </c>
      <c r="G195" s="8">
        <f t="shared" si="11"/>
        <v>9670</v>
      </c>
      <c r="H195" s="5" t="s">
        <v>62</v>
      </c>
      <c r="I195" s="5" t="s">
        <v>26</v>
      </c>
      <c r="J195" s="5"/>
      <c r="K195" s="12" t="str">
        <f t="shared" si="16"/>
        <v>#NAME?</v>
      </c>
      <c r="L195" s="5"/>
    </row>
    <row r="196">
      <c r="A196" s="13" t="s">
        <v>307</v>
      </c>
      <c r="B196" s="5"/>
      <c r="C196" s="14">
        <v>400.0</v>
      </c>
      <c r="D196" s="4" t="s">
        <v>281</v>
      </c>
      <c r="E196" s="6">
        <v>9670.0</v>
      </c>
      <c r="F196" s="7">
        <v>1.0</v>
      </c>
      <c r="G196" s="8">
        <f t="shared" si="11"/>
        <v>9670</v>
      </c>
      <c r="H196" s="5" t="s">
        <v>62</v>
      </c>
      <c r="I196" s="5" t="s">
        <v>26</v>
      </c>
      <c r="J196" s="5"/>
      <c r="K196" s="12" t="str">
        <f t="shared" si="16"/>
        <v>#NAME?</v>
      </c>
      <c r="L196" s="5"/>
    </row>
    <row r="197">
      <c r="A197" s="13" t="s">
        <v>308</v>
      </c>
      <c r="B197" s="5"/>
      <c r="C197" s="14">
        <v>121294.0</v>
      </c>
      <c r="D197" s="4" t="s">
        <v>281</v>
      </c>
      <c r="E197" s="6">
        <v>5800.0</v>
      </c>
      <c r="F197" s="7">
        <v>1.0</v>
      </c>
      <c r="G197" s="8">
        <f t="shared" si="11"/>
        <v>5800</v>
      </c>
      <c r="H197" s="5" t="s">
        <v>62</v>
      </c>
      <c r="I197" s="5" t="s">
        <v>26</v>
      </c>
      <c r="J197" s="5"/>
      <c r="K197" s="12" t="str">
        <f t="shared" si="16"/>
        <v>#NAME?</v>
      </c>
      <c r="L197" s="5"/>
    </row>
    <row r="198">
      <c r="A198" s="4" t="s">
        <v>309</v>
      </c>
      <c r="B198" s="5"/>
      <c r="C198" s="10">
        <v>16390.0</v>
      </c>
      <c r="D198" s="4" t="s">
        <v>281</v>
      </c>
      <c r="E198" s="6">
        <v>3055.0</v>
      </c>
      <c r="F198" s="7">
        <v>1.0</v>
      </c>
      <c r="G198" s="8">
        <f t="shared" si="11"/>
        <v>3055</v>
      </c>
      <c r="H198" s="5" t="s">
        <v>62</v>
      </c>
      <c r="I198" s="5" t="s">
        <v>26</v>
      </c>
      <c r="J198" s="5"/>
      <c r="K198" s="12" t="str">
        <f t="shared" si="16"/>
        <v>#NAME?</v>
      </c>
      <c r="L198" s="11" t="s">
        <v>20</v>
      </c>
    </row>
    <row r="199">
      <c r="A199" s="4" t="s">
        <v>310</v>
      </c>
      <c r="B199" s="5"/>
      <c r="C199" s="10">
        <v>1636.0</v>
      </c>
      <c r="D199" s="4" t="s">
        <v>281</v>
      </c>
      <c r="E199" s="6">
        <v>3055.0</v>
      </c>
      <c r="F199" s="7">
        <v>1.0</v>
      </c>
      <c r="G199" s="8">
        <f t="shared" si="11"/>
        <v>3055</v>
      </c>
      <c r="H199" s="5"/>
      <c r="I199" s="5"/>
      <c r="J199" s="5"/>
      <c r="K199" s="9"/>
      <c r="L199" s="11" t="s">
        <v>20</v>
      </c>
    </row>
    <row r="200">
      <c r="A200" s="4" t="s">
        <v>311</v>
      </c>
      <c r="B200" s="5"/>
      <c r="C200" s="10">
        <v>10111.0</v>
      </c>
      <c r="D200" s="4" t="s">
        <v>281</v>
      </c>
      <c r="E200" s="6">
        <v>2470.0</v>
      </c>
      <c r="F200" s="7">
        <v>1.0</v>
      </c>
      <c r="G200" s="8">
        <f t="shared" si="11"/>
        <v>2470</v>
      </c>
      <c r="H200" s="5"/>
      <c r="I200" s="5"/>
      <c r="J200" s="5"/>
      <c r="K200" s="9"/>
      <c r="L200" s="11" t="s">
        <v>20</v>
      </c>
    </row>
    <row r="201">
      <c r="A201" s="4" t="s">
        <v>312</v>
      </c>
      <c r="B201" s="5"/>
      <c r="C201" s="14">
        <v>121293.0</v>
      </c>
      <c r="D201" s="4" t="s">
        <v>281</v>
      </c>
      <c r="E201" s="6">
        <v>2470.0</v>
      </c>
      <c r="F201" s="7">
        <v>1.0</v>
      </c>
      <c r="G201" s="8">
        <f t="shared" si="11"/>
        <v>2470</v>
      </c>
      <c r="H201" s="5"/>
      <c r="I201" s="5"/>
      <c r="J201" s="5"/>
      <c r="K201" s="9"/>
      <c r="L201" s="11" t="s">
        <v>20</v>
      </c>
    </row>
    <row r="202">
      <c r="A202" s="4" t="s">
        <v>313</v>
      </c>
      <c r="B202" s="5"/>
      <c r="C202" s="14">
        <v>121292.0</v>
      </c>
      <c r="D202" s="4" t="s">
        <v>281</v>
      </c>
      <c r="E202" s="6">
        <v>2470.0</v>
      </c>
      <c r="F202" s="7">
        <v>1.0</v>
      </c>
      <c r="G202" s="8">
        <f t="shared" si="11"/>
        <v>2470</v>
      </c>
      <c r="H202" s="5"/>
      <c r="I202" s="5"/>
      <c r="J202" s="5"/>
      <c r="K202" s="9"/>
      <c r="L202" s="11" t="s">
        <v>20</v>
      </c>
    </row>
    <row r="203">
      <c r="A203" s="4" t="s">
        <v>314</v>
      </c>
      <c r="B203" s="5"/>
      <c r="C203" s="4">
        <v>1635.0</v>
      </c>
      <c r="D203" s="4" t="s">
        <v>281</v>
      </c>
      <c r="E203" s="6">
        <v>2880.0</v>
      </c>
      <c r="F203" s="7">
        <v>1.0</v>
      </c>
      <c r="G203" s="8">
        <f t="shared" si="11"/>
        <v>2880</v>
      </c>
      <c r="H203" s="5" t="s">
        <v>62</v>
      </c>
      <c r="I203" s="5" t="s">
        <v>26</v>
      </c>
      <c r="J203" s="5"/>
      <c r="K203" s="12" t="str">
        <f t="shared" ref="K203:K204" si="17">_xludf.IFS(H203="SI",J203/F203,H203="NO",1)</f>
        <v>#NAME?</v>
      </c>
      <c r="L203" s="11" t="s">
        <v>20</v>
      </c>
    </row>
    <row r="204">
      <c r="A204" s="4" t="s">
        <v>315</v>
      </c>
      <c r="B204" s="5"/>
      <c r="C204" s="10">
        <v>18370.0</v>
      </c>
      <c r="D204" s="4" t="s">
        <v>281</v>
      </c>
      <c r="E204" s="6">
        <v>2310.0</v>
      </c>
      <c r="F204" s="7">
        <v>12.0</v>
      </c>
      <c r="G204" s="8">
        <f t="shared" si="11"/>
        <v>192.5</v>
      </c>
      <c r="H204" s="5" t="s">
        <v>62</v>
      </c>
      <c r="I204" s="5" t="s">
        <v>26</v>
      </c>
      <c r="J204" s="5"/>
      <c r="K204" s="12" t="str">
        <f t="shared" si="17"/>
        <v>#NAME?</v>
      </c>
      <c r="L204" s="11" t="s">
        <v>20</v>
      </c>
    </row>
    <row r="205">
      <c r="A205" s="21" t="s">
        <v>316</v>
      </c>
      <c r="B205" s="5"/>
      <c r="C205" s="10" t="s">
        <v>317</v>
      </c>
      <c r="D205" s="4" t="s">
        <v>281</v>
      </c>
      <c r="E205" s="6">
        <v>2530.0</v>
      </c>
      <c r="F205" s="7">
        <v>1.0</v>
      </c>
      <c r="G205" s="8">
        <f t="shared" si="11"/>
        <v>2530</v>
      </c>
      <c r="H205" s="5"/>
      <c r="I205" s="5"/>
      <c r="J205" s="5"/>
      <c r="K205" s="9"/>
      <c r="L205" s="5"/>
    </row>
    <row r="206">
      <c r="A206" s="21" t="s">
        <v>318</v>
      </c>
      <c r="B206" s="5"/>
      <c r="C206" s="10" t="s">
        <v>319</v>
      </c>
      <c r="D206" s="4" t="s">
        <v>281</v>
      </c>
      <c r="E206" s="6">
        <v>3810.0</v>
      </c>
      <c r="F206" s="7">
        <v>1.0</v>
      </c>
      <c r="G206" s="8">
        <f t="shared" si="11"/>
        <v>3810</v>
      </c>
      <c r="H206" s="5"/>
      <c r="I206" s="5"/>
      <c r="J206" s="5"/>
      <c r="K206" s="9"/>
      <c r="L206" s="5"/>
    </row>
    <row r="207">
      <c r="A207" s="21" t="s">
        <v>320</v>
      </c>
      <c r="B207" s="5"/>
      <c r="C207" s="10">
        <v>10122.0</v>
      </c>
      <c r="D207" s="4" t="s">
        <v>281</v>
      </c>
      <c r="E207" s="6">
        <v>2331.0</v>
      </c>
      <c r="F207" s="7">
        <v>1.0</v>
      </c>
      <c r="G207" s="8">
        <f t="shared" si="11"/>
        <v>2331</v>
      </c>
      <c r="H207" s="5"/>
      <c r="I207" s="5"/>
      <c r="J207" s="5"/>
      <c r="K207" s="9"/>
      <c r="L207" s="5"/>
    </row>
    <row r="208">
      <c r="A208" s="13" t="s">
        <v>321</v>
      </c>
      <c r="B208" s="5"/>
      <c r="C208" s="14">
        <v>491.0</v>
      </c>
      <c r="D208" s="4" t="s">
        <v>281</v>
      </c>
      <c r="E208" s="6">
        <v>930.0</v>
      </c>
      <c r="F208" s="7">
        <v>1.0</v>
      </c>
      <c r="G208" s="8">
        <f t="shared" si="11"/>
        <v>930</v>
      </c>
      <c r="H208" s="5" t="s">
        <v>62</v>
      </c>
      <c r="I208" s="5" t="s">
        <v>26</v>
      </c>
      <c r="J208" s="5"/>
      <c r="K208" s="12" t="str">
        <f>_xludf.IFS(H208="SI",J208/F208,H208="NO",1)</f>
        <v>#NAME?</v>
      </c>
      <c r="L208" s="11" t="s">
        <v>20</v>
      </c>
    </row>
    <row r="209">
      <c r="A209" s="4" t="s">
        <v>322</v>
      </c>
      <c r="B209" s="5"/>
      <c r="C209" s="10" t="s">
        <v>323</v>
      </c>
      <c r="D209" s="4" t="s">
        <v>281</v>
      </c>
      <c r="E209" s="6">
        <v>8960.0</v>
      </c>
      <c r="F209" s="7">
        <v>20.0</v>
      </c>
      <c r="G209" s="8">
        <f t="shared" si="11"/>
        <v>448</v>
      </c>
      <c r="H209" s="5"/>
      <c r="I209" s="5"/>
      <c r="J209" s="5"/>
      <c r="K209" s="9"/>
      <c r="L209" s="11" t="s">
        <v>20</v>
      </c>
    </row>
    <row r="210">
      <c r="A210" s="4" t="s">
        <v>324</v>
      </c>
      <c r="B210" s="5"/>
      <c r="C210" s="10" t="s">
        <v>325</v>
      </c>
      <c r="D210" s="4" t="s">
        <v>281</v>
      </c>
      <c r="E210" s="6">
        <v>8960.0</v>
      </c>
      <c r="F210" s="7">
        <v>20.0</v>
      </c>
      <c r="G210" s="8">
        <f t="shared" si="11"/>
        <v>448</v>
      </c>
      <c r="H210" s="5"/>
      <c r="I210" s="5"/>
      <c r="J210" s="5"/>
      <c r="K210" s="9"/>
      <c r="L210" s="11" t="s">
        <v>20</v>
      </c>
    </row>
    <row r="211">
      <c r="A211" s="4" t="s">
        <v>326</v>
      </c>
      <c r="B211" s="5"/>
      <c r="C211" s="10" t="s">
        <v>327</v>
      </c>
      <c r="D211" s="4" t="s">
        <v>281</v>
      </c>
      <c r="E211" s="6">
        <v>8960.0</v>
      </c>
      <c r="F211" s="7">
        <v>20.0</v>
      </c>
      <c r="G211" s="8">
        <f t="shared" si="11"/>
        <v>448</v>
      </c>
      <c r="H211" s="5"/>
      <c r="I211" s="5"/>
      <c r="J211" s="5"/>
      <c r="K211" s="9"/>
      <c r="L211" s="11" t="s">
        <v>20</v>
      </c>
    </row>
    <row r="212">
      <c r="A212" s="4" t="s">
        <v>328</v>
      </c>
      <c r="B212" s="5"/>
      <c r="C212" s="10">
        <v>10042.0</v>
      </c>
      <c r="D212" s="4" t="s">
        <v>281</v>
      </c>
      <c r="E212" s="6">
        <v>8960.0</v>
      </c>
      <c r="F212" s="7">
        <v>20.0</v>
      </c>
      <c r="G212" s="8">
        <f t="shared" si="11"/>
        <v>448</v>
      </c>
      <c r="H212" s="5"/>
      <c r="I212" s="5"/>
      <c r="J212" s="5"/>
      <c r="K212" s="9"/>
      <c r="L212" s="11" t="s">
        <v>20</v>
      </c>
    </row>
    <row r="213">
      <c r="A213" s="13" t="s">
        <v>329</v>
      </c>
      <c r="B213" s="5"/>
      <c r="C213" s="14">
        <v>358.0</v>
      </c>
      <c r="D213" s="4" t="s">
        <v>281</v>
      </c>
      <c r="E213" s="6">
        <v>4880.0</v>
      </c>
      <c r="F213" s="7">
        <v>24.0</v>
      </c>
      <c r="G213" s="8">
        <f t="shared" si="11"/>
        <v>203.3333333</v>
      </c>
      <c r="H213" s="5" t="s">
        <v>62</v>
      </c>
      <c r="I213" s="5" t="s">
        <v>26</v>
      </c>
      <c r="J213" s="5"/>
      <c r="K213" s="12" t="str">
        <f t="shared" ref="K213:K220" si="18">_xludf.IFS(H213="SI",J213/F213,H213="NO",1)</f>
        <v>#NAME?</v>
      </c>
      <c r="L213" s="11" t="s">
        <v>20</v>
      </c>
    </row>
    <row r="214">
      <c r="A214" s="13" t="s">
        <v>330</v>
      </c>
      <c r="B214" s="5"/>
      <c r="C214" s="14" t="s">
        <v>331</v>
      </c>
      <c r="D214" s="4" t="s">
        <v>281</v>
      </c>
      <c r="E214" s="6">
        <v>4880.0</v>
      </c>
      <c r="F214" s="7">
        <v>24.0</v>
      </c>
      <c r="G214" s="8">
        <f t="shared" si="11"/>
        <v>203.3333333</v>
      </c>
      <c r="H214" s="5" t="s">
        <v>62</v>
      </c>
      <c r="I214" s="5" t="s">
        <v>26</v>
      </c>
      <c r="J214" s="5"/>
      <c r="K214" s="12" t="str">
        <f t="shared" si="18"/>
        <v>#NAME?</v>
      </c>
      <c r="L214" s="11" t="s">
        <v>20</v>
      </c>
    </row>
    <row r="215">
      <c r="A215" s="13" t="s">
        <v>332</v>
      </c>
      <c r="B215" s="5"/>
      <c r="C215" s="14">
        <v>368.0</v>
      </c>
      <c r="D215" s="4" t="s">
        <v>281</v>
      </c>
      <c r="E215" s="6">
        <v>4880.0</v>
      </c>
      <c r="F215" s="7">
        <v>24.0</v>
      </c>
      <c r="G215" s="8">
        <f t="shared" si="11"/>
        <v>203.3333333</v>
      </c>
      <c r="H215" s="5" t="s">
        <v>62</v>
      </c>
      <c r="I215" s="5" t="s">
        <v>26</v>
      </c>
      <c r="J215" s="5"/>
      <c r="K215" s="12" t="str">
        <f t="shared" si="18"/>
        <v>#NAME?</v>
      </c>
      <c r="L215" s="11" t="s">
        <v>20</v>
      </c>
    </row>
    <row r="216">
      <c r="A216" s="4" t="s">
        <v>333</v>
      </c>
      <c r="B216" s="5"/>
      <c r="C216" s="10" t="s">
        <v>331</v>
      </c>
      <c r="D216" s="4" t="s">
        <v>281</v>
      </c>
      <c r="E216" s="6">
        <v>4880.0</v>
      </c>
      <c r="F216" s="7">
        <v>24.0</v>
      </c>
      <c r="G216" s="8">
        <f t="shared" si="11"/>
        <v>203.3333333</v>
      </c>
      <c r="H216" s="5" t="s">
        <v>62</v>
      </c>
      <c r="I216" s="5" t="s">
        <v>26</v>
      </c>
      <c r="J216" s="5"/>
      <c r="K216" s="12" t="str">
        <f t="shared" si="18"/>
        <v>#NAME?</v>
      </c>
      <c r="L216" s="11" t="s">
        <v>20</v>
      </c>
    </row>
    <row r="217">
      <c r="A217" s="4" t="s">
        <v>334</v>
      </c>
      <c r="B217" s="5"/>
      <c r="C217" s="10">
        <v>360.0</v>
      </c>
      <c r="D217" s="4" t="s">
        <v>281</v>
      </c>
      <c r="E217" s="6">
        <v>5410.0</v>
      </c>
      <c r="F217" s="7">
        <v>24.0</v>
      </c>
      <c r="G217" s="8">
        <f t="shared" si="11"/>
        <v>225.4166667</v>
      </c>
      <c r="H217" s="5" t="s">
        <v>62</v>
      </c>
      <c r="I217" s="5" t="s">
        <v>26</v>
      </c>
      <c r="J217" s="5"/>
      <c r="K217" s="12" t="str">
        <f t="shared" si="18"/>
        <v>#NAME?</v>
      </c>
      <c r="L217" s="11" t="s">
        <v>20</v>
      </c>
    </row>
    <row r="218">
      <c r="A218" s="4" t="s">
        <v>335</v>
      </c>
      <c r="B218" s="5"/>
      <c r="C218" s="10">
        <v>353.0</v>
      </c>
      <c r="D218" s="4" t="s">
        <v>281</v>
      </c>
      <c r="E218" s="6">
        <v>5410.0</v>
      </c>
      <c r="F218" s="7">
        <v>24.0</v>
      </c>
      <c r="G218" s="8">
        <f t="shared" si="11"/>
        <v>225.4166667</v>
      </c>
      <c r="H218" s="5" t="s">
        <v>62</v>
      </c>
      <c r="I218" s="5" t="s">
        <v>26</v>
      </c>
      <c r="J218" s="5"/>
      <c r="K218" s="12" t="str">
        <f t="shared" si="18"/>
        <v>#NAME?</v>
      </c>
      <c r="L218" s="11" t="s">
        <v>20</v>
      </c>
    </row>
    <row r="219">
      <c r="A219" s="4" t="s">
        <v>336</v>
      </c>
      <c r="B219" s="5"/>
      <c r="C219" s="10">
        <v>355.0</v>
      </c>
      <c r="D219" s="4" t="s">
        <v>281</v>
      </c>
      <c r="E219" s="6">
        <v>5410.0</v>
      </c>
      <c r="F219" s="7">
        <v>24.0</v>
      </c>
      <c r="G219" s="8">
        <f t="shared" si="11"/>
        <v>225.4166667</v>
      </c>
      <c r="H219" s="5" t="s">
        <v>62</v>
      </c>
      <c r="I219" s="5" t="s">
        <v>26</v>
      </c>
      <c r="J219" s="5"/>
      <c r="K219" s="12" t="str">
        <f t="shared" si="18"/>
        <v>#NAME?</v>
      </c>
      <c r="L219" s="11" t="s">
        <v>20</v>
      </c>
    </row>
    <row r="220">
      <c r="A220" s="4" t="s">
        <v>337</v>
      </c>
      <c r="B220" s="5"/>
      <c r="C220" s="10">
        <v>184657.0</v>
      </c>
      <c r="D220" s="4" t="s">
        <v>281</v>
      </c>
      <c r="E220" s="6">
        <v>4680.0</v>
      </c>
      <c r="F220" s="7">
        <v>48.0</v>
      </c>
      <c r="G220" s="8">
        <f t="shared" si="11"/>
        <v>97.5</v>
      </c>
      <c r="H220" s="5" t="s">
        <v>62</v>
      </c>
      <c r="I220" s="5" t="s">
        <v>26</v>
      </c>
      <c r="J220" s="5"/>
      <c r="K220" s="12" t="str">
        <f t="shared" si="18"/>
        <v>#NAME?</v>
      </c>
      <c r="L220" s="11" t="s">
        <v>20</v>
      </c>
    </row>
    <row r="221">
      <c r="A221" s="4" t="s">
        <v>338</v>
      </c>
      <c r="B221" s="5"/>
      <c r="C221" s="10">
        <v>1232.0</v>
      </c>
      <c r="D221" s="4" t="s">
        <v>281</v>
      </c>
      <c r="E221" s="6">
        <v>8206.0</v>
      </c>
      <c r="F221" s="7">
        <v>24.0</v>
      </c>
      <c r="G221" s="8">
        <f t="shared" si="11"/>
        <v>341.9166667</v>
      </c>
      <c r="H221" s="5"/>
      <c r="I221" s="5"/>
      <c r="J221" s="5"/>
      <c r="K221" s="9"/>
      <c r="L221" s="11" t="s">
        <v>20</v>
      </c>
    </row>
    <row r="222">
      <c r="A222" s="4" t="s">
        <v>339</v>
      </c>
      <c r="B222" s="5"/>
      <c r="C222" s="10">
        <v>1233.0</v>
      </c>
      <c r="D222" s="4" t="s">
        <v>281</v>
      </c>
      <c r="E222" s="6">
        <v>4580.0</v>
      </c>
      <c r="F222" s="7">
        <v>24.0</v>
      </c>
      <c r="G222" s="8">
        <f t="shared" si="11"/>
        <v>190.8333333</v>
      </c>
      <c r="H222" s="5"/>
      <c r="I222" s="5"/>
      <c r="J222" s="5"/>
      <c r="K222" s="9"/>
      <c r="L222" s="11" t="s">
        <v>20</v>
      </c>
    </row>
    <row r="223">
      <c r="A223" s="4" t="s">
        <v>340</v>
      </c>
      <c r="B223" s="5"/>
      <c r="C223" s="10">
        <v>12.0</v>
      </c>
      <c r="D223" s="4" t="s">
        <v>281</v>
      </c>
      <c r="E223" s="6">
        <v>4580.0</v>
      </c>
      <c r="F223" s="7">
        <v>24.0</v>
      </c>
      <c r="G223" s="8">
        <f t="shared" si="11"/>
        <v>190.8333333</v>
      </c>
      <c r="H223" s="5"/>
      <c r="I223" s="5"/>
      <c r="J223" s="5"/>
      <c r="K223" s="9"/>
      <c r="L223" s="11" t="s">
        <v>20</v>
      </c>
    </row>
    <row r="224">
      <c r="A224" s="4" t="s">
        <v>341</v>
      </c>
      <c r="B224" s="5"/>
      <c r="C224" s="10">
        <v>1413.0</v>
      </c>
      <c r="D224" s="4" t="s">
        <v>281</v>
      </c>
      <c r="E224" s="6">
        <v>9375.0</v>
      </c>
      <c r="F224" s="7">
        <v>30.0</v>
      </c>
      <c r="G224" s="8">
        <f t="shared" si="11"/>
        <v>312.5</v>
      </c>
      <c r="H224" s="5"/>
      <c r="I224" s="5"/>
      <c r="J224" s="5"/>
      <c r="K224" s="9"/>
      <c r="L224" s="11" t="s">
        <v>20</v>
      </c>
    </row>
    <row r="225">
      <c r="A225" s="4" t="s">
        <v>342</v>
      </c>
      <c r="B225" s="5"/>
      <c r="C225" s="10">
        <v>1412.0</v>
      </c>
      <c r="D225" s="4" t="s">
        <v>281</v>
      </c>
      <c r="E225" s="6">
        <v>9375.0</v>
      </c>
      <c r="F225" s="7">
        <v>30.0</v>
      </c>
      <c r="G225" s="8">
        <f t="shared" si="11"/>
        <v>312.5</v>
      </c>
      <c r="H225" s="5"/>
      <c r="I225" s="5"/>
      <c r="J225" s="5"/>
      <c r="K225" s="9"/>
      <c r="L225" s="11" t="s">
        <v>20</v>
      </c>
    </row>
    <row r="226">
      <c r="A226" s="13" t="s">
        <v>343</v>
      </c>
      <c r="B226" s="5"/>
      <c r="C226" s="14">
        <v>331.0</v>
      </c>
      <c r="D226" s="4" t="s">
        <v>281</v>
      </c>
      <c r="E226" s="6">
        <v>4570.0</v>
      </c>
      <c r="F226" s="7">
        <v>1.0</v>
      </c>
      <c r="G226" s="8">
        <f t="shared" si="11"/>
        <v>4570</v>
      </c>
      <c r="H226" s="5" t="s">
        <v>62</v>
      </c>
      <c r="I226" s="5" t="s">
        <v>26</v>
      </c>
      <c r="J226" s="5"/>
      <c r="K226" s="12" t="str">
        <f t="shared" ref="K226:K229" si="19">_xludf.IFS(H226="SI",J226/F226,H226="NO",1)</f>
        <v>#NAME?</v>
      </c>
      <c r="L226" s="5"/>
    </row>
    <row r="227">
      <c r="A227" s="13" t="s">
        <v>344</v>
      </c>
      <c r="B227" s="5"/>
      <c r="C227" s="14">
        <v>332.0</v>
      </c>
      <c r="D227" s="4" t="s">
        <v>281</v>
      </c>
      <c r="E227" s="6">
        <v>4299.0</v>
      </c>
      <c r="F227" s="7">
        <v>1.0</v>
      </c>
      <c r="G227" s="8">
        <f t="shared" si="11"/>
        <v>4299</v>
      </c>
      <c r="H227" s="5" t="s">
        <v>62</v>
      </c>
      <c r="I227" s="5" t="s">
        <v>26</v>
      </c>
      <c r="J227" s="5"/>
      <c r="K227" s="12" t="str">
        <f t="shared" si="19"/>
        <v>#NAME?</v>
      </c>
      <c r="L227" s="5"/>
    </row>
    <row r="228">
      <c r="A228" s="13" t="s">
        <v>345</v>
      </c>
      <c r="B228" s="5"/>
      <c r="C228" s="14">
        <v>334.0</v>
      </c>
      <c r="D228" s="4" t="s">
        <v>281</v>
      </c>
      <c r="E228" s="6">
        <v>4299.9</v>
      </c>
      <c r="F228" s="7">
        <v>1.0</v>
      </c>
      <c r="G228" s="8">
        <f t="shared" si="11"/>
        <v>4299.9</v>
      </c>
      <c r="H228" s="5" t="s">
        <v>62</v>
      </c>
      <c r="I228" s="5" t="s">
        <v>26</v>
      </c>
      <c r="J228" s="5"/>
      <c r="K228" s="12" t="str">
        <f t="shared" si="19"/>
        <v>#NAME?</v>
      </c>
      <c r="L228" s="5"/>
    </row>
    <row r="229">
      <c r="A229" s="13" t="s">
        <v>346</v>
      </c>
      <c r="B229" s="5"/>
      <c r="C229" s="14">
        <v>333.0</v>
      </c>
      <c r="D229" s="4" t="s">
        <v>281</v>
      </c>
      <c r="E229" s="6">
        <v>4570.0</v>
      </c>
      <c r="F229" s="7">
        <v>1.0</v>
      </c>
      <c r="G229" s="8">
        <f t="shared" si="11"/>
        <v>4570</v>
      </c>
      <c r="H229" s="5" t="s">
        <v>62</v>
      </c>
      <c r="I229" s="5" t="s">
        <v>26</v>
      </c>
      <c r="J229" s="5"/>
      <c r="K229" s="12" t="str">
        <f t="shared" si="19"/>
        <v>#NAME?</v>
      </c>
      <c r="L229" s="5"/>
    </row>
    <row r="230">
      <c r="A230" s="4" t="s">
        <v>347</v>
      </c>
      <c r="B230" s="5"/>
      <c r="C230" s="14">
        <v>333.0</v>
      </c>
      <c r="D230" s="4" t="s">
        <v>281</v>
      </c>
      <c r="E230" s="6">
        <v>4570.0</v>
      </c>
      <c r="F230" s="7">
        <v>1.0</v>
      </c>
      <c r="G230" s="8">
        <f t="shared" si="11"/>
        <v>4570</v>
      </c>
      <c r="H230" s="5"/>
      <c r="I230" s="5"/>
      <c r="J230" s="5"/>
      <c r="K230" s="9"/>
      <c r="L230" s="5"/>
    </row>
    <row r="231">
      <c r="A231" s="4" t="s">
        <v>348</v>
      </c>
      <c r="B231" s="5"/>
      <c r="C231" s="14">
        <v>333.0</v>
      </c>
      <c r="D231" s="4" t="s">
        <v>281</v>
      </c>
      <c r="E231" s="6">
        <v>4570.0</v>
      </c>
      <c r="F231" s="7">
        <v>1.0</v>
      </c>
      <c r="G231" s="20"/>
      <c r="H231" s="5"/>
      <c r="I231" s="5"/>
      <c r="J231" s="5"/>
      <c r="K231" s="9"/>
      <c r="L231" s="5"/>
    </row>
    <row r="232">
      <c r="A232" s="4" t="s">
        <v>349</v>
      </c>
      <c r="B232" s="5"/>
      <c r="C232" s="14">
        <v>333.0</v>
      </c>
      <c r="D232" s="4" t="s">
        <v>281</v>
      </c>
      <c r="E232" s="6">
        <v>4570.0</v>
      </c>
      <c r="F232" s="7">
        <v>1.0</v>
      </c>
      <c r="G232" s="8">
        <f t="shared" ref="G232:G405" si="20">E232/F232</f>
        <v>4570</v>
      </c>
      <c r="H232" s="5"/>
      <c r="I232" s="5"/>
      <c r="J232" s="5"/>
      <c r="K232" s="9"/>
      <c r="L232" s="5"/>
    </row>
    <row r="233">
      <c r="A233" s="13" t="s">
        <v>350</v>
      </c>
      <c r="B233" s="5"/>
      <c r="C233" s="14" t="s">
        <v>351</v>
      </c>
      <c r="D233" s="4" t="s">
        <v>281</v>
      </c>
      <c r="E233" s="6">
        <v>4460.0</v>
      </c>
      <c r="F233" s="7">
        <v>1.0</v>
      </c>
      <c r="G233" s="8">
        <f t="shared" si="20"/>
        <v>4460</v>
      </c>
      <c r="H233" s="5" t="s">
        <v>25</v>
      </c>
      <c r="I233" s="5" t="s">
        <v>26</v>
      </c>
      <c r="J233" s="5"/>
      <c r="K233" s="12" t="str">
        <f t="shared" ref="K233:K235" si="21">_xludf.IFS(H233="SI",J233/F233,H233="NO",1)</f>
        <v>#NAME?</v>
      </c>
      <c r="L233" s="5"/>
    </row>
    <row r="234">
      <c r="A234" s="13" t="s">
        <v>352</v>
      </c>
      <c r="B234" s="5"/>
      <c r="C234" s="14">
        <v>1467.0</v>
      </c>
      <c r="D234" s="4" t="s">
        <v>281</v>
      </c>
      <c r="E234" s="6">
        <v>4460.0</v>
      </c>
      <c r="F234" s="7">
        <v>1.0</v>
      </c>
      <c r="G234" s="8">
        <f t="shared" si="20"/>
        <v>4460</v>
      </c>
      <c r="H234" s="5" t="s">
        <v>25</v>
      </c>
      <c r="I234" s="5" t="s">
        <v>26</v>
      </c>
      <c r="J234" s="5"/>
      <c r="K234" s="12" t="str">
        <f t="shared" si="21"/>
        <v>#NAME?</v>
      </c>
      <c r="L234" s="5"/>
    </row>
    <row r="235">
      <c r="A235" s="13" t="s">
        <v>353</v>
      </c>
      <c r="B235" s="5"/>
      <c r="C235" s="14">
        <v>14356.0</v>
      </c>
      <c r="D235" s="4" t="s">
        <v>281</v>
      </c>
      <c r="E235" s="6">
        <v>4460.0</v>
      </c>
      <c r="F235" s="7">
        <v>1.0</v>
      </c>
      <c r="G235" s="8">
        <f t="shared" si="20"/>
        <v>4460</v>
      </c>
      <c r="H235" s="5" t="s">
        <v>25</v>
      </c>
      <c r="I235" s="5" t="s">
        <v>26</v>
      </c>
      <c r="J235" s="5"/>
      <c r="K235" s="12" t="str">
        <f t="shared" si="21"/>
        <v>#NAME?</v>
      </c>
      <c r="L235" s="5"/>
    </row>
    <row r="236">
      <c r="A236" s="13" t="s">
        <v>354</v>
      </c>
      <c r="B236" s="5"/>
      <c r="C236" s="14">
        <v>1842.0</v>
      </c>
      <c r="D236" s="4" t="s">
        <v>281</v>
      </c>
      <c r="E236" s="6">
        <v>4460.0</v>
      </c>
      <c r="F236" s="7">
        <v>1.0</v>
      </c>
      <c r="G236" s="8">
        <f t="shared" si="20"/>
        <v>4460</v>
      </c>
      <c r="H236" s="5"/>
      <c r="I236" s="5"/>
      <c r="J236" s="5"/>
      <c r="K236" s="9"/>
      <c r="L236" s="5"/>
    </row>
    <row r="237">
      <c r="A237" s="13" t="s">
        <v>355</v>
      </c>
      <c r="B237" s="5"/>
      <c r="C237" s="14">
        <v>1841.0</v>
      </c>
      <c r="D237" s="4" t="s">
        <v>281</v>
      </c>
      <c r="E237" s="6">
        <v>4460.0</v>
      </c>
      <c r="F237" s="7">
        <v>1.0</v>
      </c>
      <c r="G237" s="8">
        <f t="shared" si="20"/>
        <v>4460</v>
      </c>
      <c r="H237" s="5"/>
      <c r="I237" s="5"/>
      <c r="J237" s="5"/>
      <c r="K237" s="9"/>
      <c r="L237" s="5"/>
    </row>
    <row r="238">
      <c r="A238" s="13" t="s">
        <v>356</v>
      </c>
      <c r="B238" s="5"/>
      <c r="C238" s="14">
        <v>95042.0</v>
      </c>
      <c r="D238" s="4" t="s">
        <v>281</v>
      </c>
      <c r="E238" s="6">
        <v>4460.0</v>
      </c>
      <c r="F238" s="7">
        <v>1.0</v>
      </c>
      <c r="G238" s="8">
        <f t="shared" si="20"/>
        <v>4460</v>
      </c>
      <c r="H238" s="5"/>
      <c r="I238" s="5"/>
      <c r="J238" s="5"/>
      <c r="K238" s="9"/>
      <c r="L238" s="5"/>
    </row>
    <row r="239">
      <c r="A239" s="13" t="s">
        <v>357</v>
      </c>
      <c r="B239" s="5"/>
      <c r="C239" s="14">
        <v>428.0</v>
      </c>
      <c r="D239" s="4" t="s">
        <v>281</v>
      </c>
      <c r="E239" s="6">
        <v>720.0</v>
      </c>
      <c r="F239" s="7">
        <v>1.0</v>
      </c>
      <c r="G239" s="8">
        <f t="shared" si="20"/>
        <v>720</v>
      </c>
      <c r="H239" s="5" t="s">
        <v>25</v>
      </c>
      <c r="I239" s="5" t="s">
        <v>26</v>
      </c>
      <c r="J239" s="5"/>
      <c r="K239" s="12" t="str">
        <f t="shared" ref="K239:K249" si="22">_xludf.IFS(H239="SI",J239/F239,H239="NO",1)</f>
        <v>#NAME?</v>
      </c>
      <c r="L239" s="5"/>
    </row>
    <row r="240">
      <c r="A240" s="13" t="s">
        <v>358</v>
      </c>
      <c r="B240" s="5"/>
      <c r="C240" s="14">
        <v>438.0</v>
      </c>
      <c r="D240" s="4" t="s">
        <v>281</v>
      </c>
      <c r="E240" s="6">
        <v>720.0</v>
      </c>
      <c r="F240" s="7">
        <v>1.0</v>
      </c>
      <c r="G240" s="8">
        <f t="shared" si="20"/>
        <v>720</v>
      </c>
      <c r="H240" s="5" t="s">
        <v>25</v>
      </c>
      <c r="I240" s="5" t="s">
        <v>26</v>
      </c>
      <c r="J240" s="5"/>
      <c r="K240" s="12" t="str">
        <f t="shared" si="22"/>
        <v>#NAME?</v>
      </c>
      <c r="L240" s="5"/>
    </row>
    <row r="241">
      <c r="A241" s="13" t="s">
        <v>359</v>
      </c>
      <c r="B241" s="5"/>
      <c r="C241" s="14">
        <v>441.0</v>
      </c>
      <c r="D241" s="4" t="s">
        <v>281</v>
      </c>
      <c r="E241" s="6">
        <v>720.0</v>
      </c>
      <c r="F241" s="7">
        <v>1.0</v>
      </c>
      <c r="G241" s="8">
        <f t="shared" si="20"/>
        <v>720</v>
      </c>
      <c r="H241" s="5" t="s">
        <v>25</v>
      </c>
      <c r="I241" s="5" t="s">
        <v>26</v>
      </c>
      <c r="J241" s="5"/>
      <c r="K241" s="12" t="str">
        <f t="shared" si="22"/>
        <v>#NAME?</v>
      </c>
      <c r="L241" s="5"/>
    </row>
    <row r="242">
      <c r="A242" s="13" t="s">
        <v>360</v>
      </c>
      <c r="B242" s="5"/>
      <c r="C242" s="14">
        <v>439.0</v>
      </c>
      <c r="D242" s="4" t="s">
        <v>281</v>
      </c>
      <c r="E242" s="6">
        <v>720.0</v>
      </c>
      <c r="F242" s="7">
        <v>1.0</v>
      </c>
      <c r="G242" s="8">
        <f t="shared" si="20"/>
        <v>720</v>
      </c>
      <c r="H242" s="5" t="s">
        <v>25</v>
      </c>
      <c r="I242" s="5" t="s">
        <v>26</v>
      </c>
      <c r="J242" s="5"/>
      <c r="K242" s="12" t="str">
        <f t="shared" si="22"/>
        <v>#NAME?</v>
      </c>
      <c r="L242" s="5"/>
    </row>
    <row r="243">
      <c r="A243" s="13" t="s">
        <v>361</v>
      </c>
      <c r="B243" s="5"/>
      <c r="C243" s="14">
        <v>445.0</v>
      </c>
      <c r="D243" s="4" t="s">
        <v>281</v>
      </c>
      <c r="E243" s="6">
        <v>720.0</v>
      </c>
      <c r="F243" s="7">
        <v>1.0</v>
      </c>
      <c r="G243" s="8">
        <f t="shared" si="20"/>
        <v>720</v>
      </c>
      <c r="H243" s="5" t="s">
        <v>25</v>
      </c>
      <c r="I243" s="5" t="s">
        <v>26</v>
      </c>
      <c r="J243" s="5"/>
      <c r="K243" s="12" t="str">
        <f t="shared" si="22"/>
        <v>#NAME?</v>
      </c>
      <c r="L243" s="5"/>
    </row>
    <row r="244">
      <c r="A244" s="13" t="s">
        <v>362</v>
      </c>
      <c r="B244" s="5"/>
      <c r="C244" s="14">
        <v>444.0</v>
      </c>
      <c r="D244" s="4" t="s">
        <v>281</v>
      </c>
      <c r="E244" s="6">
        <v>720.0</v>
      </c>
      <c r="F244" s="7">
        <v>1.0</v>
      </c>
      <c r="G244" s="8">
        <f t="shared" si="20"/>
        <v>720</v>
      </c>
      <c r="H244" s="5" t="s">
        <v>25</v>
      </c>
      <c r="I244" s="5" t="s">
        <v>26</v>
      </c>
      <c r="J244" s="5"/>
      <c r="K244" s="12" t="str">
        <f t="shared" si="22"/>
        <v>#NAME?</v>
      </c>
      <c r="L244" s="5"/>
    </row>
    <row r="245">
      <c r="A245" s="13" t="s">
        <v>363</v>
      </c>
      <c r="B245" s="5"/>
      <c r="C245" s="14">
        <v>440.0</v>
      </c>
      <c r="D245" s="4" t="s">
        <v>281</v>
      </c>
      <c r="E245" s="6">
        <v>720.0</v>
      </c>
      <c r="F245" s="7">
        <v>1.0</v>
      </c>
      <c r="G245" s="8">
        <f t="shared" si="20"/>
        <v>720</v>
      </c>
      <c r="H245" s="5" t="s">
        <v>25</v>
      </c>
      <c r="I245" s="5" t="s">
        <v>43</v>
      </c>
      <c r="J245" s="5"/>
      <c r="K245" s="12" t="str">
        <f t="shared" si="22"/>
        <v>#NAME?</v>
      </c>
      <c r="L245" s="5"/>
    </row>
    <row r="246">
      <c r="A246" s="13" t="s">
        <v>364</v>
      </c>
      <c r="B246" s="5"/>
      <c r="C246" s="14">
        <v>546.0</v>
      </c>
      <c r="D246" s="4" t="s">
        <v>281</v>
      </c>
      <c r="E246" s="6">
        <v>320.0</v>
      </c>
      <c r="F246" s="7">
        <v>1.0</v>
      </c>
      <c r="G246" s="8">
        <f t="shared" si="20"/>
        <v>320</v>
      </c>
      <c r="H246" s="5"/>
      <c r="I246" s="5"/>
      <c r="J246" s="5"/>
      <c r="K246" s="12" t="str">
        <f t="shared" si="22"/>
        <v>#NAME?</v>
      </c>
      <c r="L246" s="5"/>
    </row>
    <row r="247">
      <c r="A247" s="4" t="s">
        <v>365</v>
      </c>
      <c r="B247" s="5"/>
      <c r="C247" s="10">
        <v>121296.0</v>
      </c>
      <c r="D247" s="4" t="s">
        <v>281</v>
      </c>
      <c r="E247" s="6">
        <v>1820.0</v>
      </c>
      <c r="F247" s="7">
        <v>1.0</v>
      </c>
      <c r="G247" s="8">
        <f t="shared" si="20"/>
        <v>1820</v>
      </c>
      <c r="H247" s="5"/>
      <c r="I247" s="5"/>
      <c r="J247" s="5"/>
      <c r="K247" s="12" t="str">
        <f t="shared" si="22"/>
        <v>#NAME?</v>
      </c>
      <c r="L247" s="5"/>
    </row>
    <row r="248">
      <c r="A248" s="4" t="s">
        <v>366</v>
      </c>
      <c r="B248" s="5"/>
      <c r="C248" s="10">
        <v>1569.0</v>
      </c>
      <c r="D248" s="4" t="s">
        <v>281</v>
      </c>
      <c r="E248" s="6">
        <v>2860.0</v>
      </c>
      <c r="F248" s="7">
        <v>12.0</v>
      </c>
      <c r="G248" s="8">
        <f t="shared" si="20"/>
        <v>238.3333333</v>
      </c>
      <c r="H248" s="5"/>
      <c r="I248" s="5"/>
      <c r="J248" s="5"/>
      <c r="K248" s="12" t="str">
        <f t="shared" si="22"/>
        <v>#NAME?</v>
      </c>
      <c r="L248" s="11" t="s">
        <v>20</v>
      </c>
    </row>
    <row r="249">
      <c r="A249" s="4" t="s">
        <v>367</v>
      </c>
      <c r="B249" s="5"/>
      <c r="C249" s="10">
        <v>1024.0</v>
      </c>
      <c r="D249" s="4" t="s">
        <v>281</v>
      </c>
      <c r="E249" s="6">
        <v>4020.0</v>
      </c>
      <c r="F249" s="7">
        <v>1.0</v>
      </c>
      <c r="G249" s="8">
        <f t="shared" si="20"/>
        <v>4020</v>
      </c>
      <c r="H249" s="5"/>
      <c r="I249" s="5"/>
      <c r="J249" s="5"/>
      <c r="K249" s="12" t="str">
        <f t="shared" si="22"/>
        <v>#NAME?</v>
      </c>
      <c r="L249" s="5"/>
    </row>
    <row r="250">
      <c r="A250" s="4" t="s">
        <v>368</v>
      </c>
      <c r="B250" s="5"/>
      <c r="C250" s="14" t="s">
        <v>369</v>
      </c>
      <c r="D250" s="4" t="s">
        <v>281</v>
      </c>
      <c r="E250" s="6">
        <v>3320.0</v>
      </c>
      <c r="F250" s="7">
        <v>1.0</v>
      </c>
      <c r="G250" s="8">
        <f t="shared" si="20"/>
        <v>3320</v>
      </c>
      <c r="H250" s="5"/>
      <c r="I250" s="5"/>
      <c r="J250" s="5"/>
      <c r="K250" s="9"/>
      <c r="L250" s="5"/>
    </row>
    <row r="251">
      <c r="A251" s="4" t="s">
        <v>370</v>
      </c>
      <c r="B251" s="5"/>
      <c r="C251" s="10">
        <v>343.0</v>
      </c>
      <c r="D251" s="4" t="s">
        <v>281</v>
      </c>
      <c r="E251" s="6">
        <v>11290.0</v>
      </c>
      <c r="F251" s="7">
        <v>20.0</v>
      </c>
      <c r="G251" s="8">
        <f t="shared" si="20"/>
        <v>564.5</v>
      </c>
      <c r="H251" s="5"/>
      <c r="I251" s="5"/>
      <c r="J251" s="5"/>
      <c r="K251" s="9"/>
      <c r="L251" s="11" t="s">
        <v>20</v>
      </c>
    </row>
    <row r="252">
      <c r="A252" s="4" t="s">
        <v>371</v>
      </c>
      <c r="B252" s="5"/>
      <c r="C252" s="14">
        <v>378.0</v>
      </c>
      <c r="D252" s="4" t="s">
        <v>281</v>
      </c>
      <c r="E252" s="6">
        <v>3825.0</v>
      </c>
      <c r="F252" s="7">
        <v>1.0</v>
      </c>
      <c r="G252" s="8">
        <f t="shared" si="20"/>
        <v>3825</v>
      </c>
      <c r="H252" s="5" t="s">
        <v>25</v>
      </c>
      <c r="I252" s="5" t="s">
        <v>26</v>
      </c>
      <c r="J252" s="5"/>
      <c r="K252" s="12" t="str">
        <f t="shared" ref="K252:K263" si="23">_xludf.IFS(H252="SI",J252/F252,H252="NO",1)</f>
        <v>#NAME?</v>
      </c>
      <c r="L252" s="5"/>
    </row>
    <row r="253">
      <c r="A253" s="13" t="s">
        <v>372</v>
      </c>
      <c r="B253" s="5"/>
      <c r="C253" s="14">
        <v>379.0</v>
      </c>
      <c r="D253" s="4" t="s">
        <v>281</v>
      </c>
      <c r="E253" s="6">
        <v>3825.0</v>
      </c>
      <c r="F253" s="7">
        <v>1.0</v>
      </c>
      <c r="G253" s="8">
        <f t="shared" si="20"/>
        <v>3825</v>
      </c>
      <c r="H253" s="5" t="s">
        <v>25</v>
      </c>
      <c r="I253" s="5" t="s">
        <v>26</v>
      </c>
      <c r="J253" s="5"/>
      <c r="K253" s="12" t="str">
        <f t="shared" si="23"/>
        <v>#NAME?</v>
      </c>
      <c r="L253" s="5"/>
    </row>
    <row r="254">
      <c r="A254" s="13" t="s">
        <v>373</v>
      </c>
      <c r="B254" s="5"/>
      <c r="C254" s="14">
        <v>385.0</v>
      </c>
      <c r="D254" s="4" t="s">
        <v>281</v>
      </c>
      <c r="E254" s="6">
        <v>5700.0</v>
      </c>
      <c r="F254" s="7">
        <v>1.0</v>
      </c>
      <c r="G254" s="8">
        <f t="shared" si="20"/>
        <v>5700</v>
      </c>
      <c r="H254" s="5" t="s">
        <v>25</v>
      </c>
      <c r="I254" s="5" t="s">
        <v>26</v>
      </c>
      <c r="J254" s="5"/>
      <c r="K254" s="12" t="str">
        <f t="shared" si="23"/>
        <v>#NAME?</v>
      </c>
      <c r="L254" s="5"/>
    </row>
    <row r="255">
      <c r="A255" s="13" t="s">
        <v>374</v>
      </c>
      <c r="B255" s="5"/>
      <c r="C255" s="14">
        <v>507.0</v>
      </c>
      <c r="D255" s="4" t="s">
        <v>281</v>
      </c>
      <c r="E255" s="6">
        <v>3730.0</v>
      </c>
      <c r="F255" s="7">
        <v>12.0</v>
      </c>
      <c r="G255" s="8">
        <f t="shared" si="20"/>
        <v>310.8333333</v>
      </c>
      <c r="H255" s="5" t="s">
        <v>25</v>
      </c>
      <c r="I255" s="5" t="s">
        <v>26</v>
      </c>
      <c r="J255" s="5"/>
      <c r="K255" s="12" t="str">
        <f t="shared" si="23"/>
        <v>#NAME?</v>
      </c>
      <c r="L255" s="11" t="s">
        <v>20</v>
      </c>
    </row>
    <row r="256">
      <c r="A256" s="13" t="s">
        <v>375</v>
      </c>
      <c r="B256" s="5"/>
      <c r="C256" s="14">
        <v>388.0</v>
      </c>
      <c r="D256" s="4" t="s">
        <v>281</v>
      </c>
      <c r="E256" s="6">
        <v>3730.0</v>
      </c>
      <c r="F256" s="7">
        <v>12.0</v>
      </c>
      <c r="G256" s="8">
        <f t="shared" si="20"/>
        <v>310.8333333</v>
      </c>
      <c r="H256" s="5" t="s">
        <v>25</v>
      </c>
      <c r="I256" s="5" t="s">
        <v>26</v>
      </c>
      <c r="J256" s="5"/>
      <c r="K256" s="12" t="str">
        <f t="shared" si="23"/>
        <v>#NAME?</v>
      </c>
      <c r="L256" s="11" t="s">
        <v>20</v>
      </c>
    </row>
    <row r="257">
      <c r="A257" s="13" t="s">
        <v>376</v>
      </c>
      <c r="B257" s="5"/>
      <c r="C257" s="14">
        <v>330.0</v>
      </c>
      <c r="D257" s="4" t="s">
        <v>281</v>
      </c>
      <c r="E257" s="6">
        <v>3730.0</v>
      </c>
      <c r="F257" s="7">
        <v>12.0</v>
      </c>
      <c r="G257" s="8">
        <f t="shared" si="20"/>
        <v>310.8333333</v>
      </c>
      <c r="H257" s="5" t="s">
        <v>25</v>
      </c>
      <c r="I257" s="5" t="s">
        <v>26</v>
      </c>
      <c r="J257" s="5"/>
      <c r="K257" s="12" t="str">
        <f t="shared" si="23"/>
        <v>#NAME?</v>
      </c>
      <c r="L257" s="11" t="s">
        <v>20</v>
      </c>
    </row>
    <row r="258">
      <c r="A258" s="13" t="s">
        <v>377</v>
      </c>
      <c r="B258" s="5"/>
      <c r="C258" s="14">
        <v>352.0</v>
      </c>
      <c r="D258" s="4" t="s">
        <v>281</v>
      </c>
      <c r="E258" s="6">
        <v>3730.0</v>
      </c>
      <c r="F258" s="7">
        <v>12.0</v>
      </c>
      <c r="G258" s="8">
        <f t="shared" si="20"/>
        <v>310.8333333</v>
      </c>
      <c r="H258" s="5" t="s">
        <v>25</v>
      </c>
      <c r="I258" s="5" t="s">
        <v>128</v>
      </c>
      <c r="J258" s="5"/>
      <c r="K258" s="12" t="str">
        <f t="shared" si="23"/>
        <v>#NAME?</v>
      </c>
      <c r="L258" s="11" t="s">
        <v>20</v>
      </c>
    </row>
    <row r="259">
      <c r="A259" s="13" t="s">
        <v>378</v>
      </c>
      <c r="B259" s="5"/>
      <c r="C259" s="14">
        <v>376.0</v>
      </c>
      <c r="D259" s="4" t="s">
        <v>281</v>
      </c>
      <c r="E259" s="6">
        <v>3730.0</v>
      </c>
      <c r="F259" s="7">
        <v>12.0</v>
      </c>
      <c r="G259" s="8">
        <f t="shared" si="20"/>
        <v>310.8333333</v>
      </c>
      <c r="H259" s="5" t="s">
        <v>25</v>
      </c>
      <c r="I259" s="5" t="s">
        <v>128</v>
      </c>
      <c r="J259" s="5"/>
      <c r="K259" s="12" t="str">
        <f t="shared" si="23"/>
        <v>#NAME?</v>
      </c>
      <c r="L259" s="11" t="s">
        <v>20</v>
      </c>
    </row>
    <row r="260">
      <c r="A260" s="13" t="s">
        <v>379</v>
      </c>
      <c r="B260" s="5"/>
      <c r="C260" s="14">
        <v>4003.0</v>
      </c>
      <c r="D260" s="4" t="s">
        <v>281</v>
      </c>
      <c r="E260" s="6">
        <v>3465.0</v>
      </c>
      <c r="F260" s="7">
        <v>20.0</v>
      </c>
      <c r="G260" s="8">
        <f t="shared" si="20"/>
        <v>173.25</v>
      </c>
      <c r="H260" s="5" t="s">
        <v>25</v>
      </c>
      <c r="I260" s="5" t="s">
        <v>128</v>
      </c>
      <c r="J260" s="5"/>
      <c r="K260" s="12" t="str">
        <f t="shared" si="23"/>
        <v>#NAME?</v>
      </c>
      <c r="L260" s="11" t="s">
        <v>20</v>
      </c>
    </row>
    <row r="261">
      <c r="A261" s="13" t="s">
        <v>380</v>
      </c>
      <c r="B261" s="5"/>
      <c r="C261" s="14">
        <v>124.0</v>
      </c>
      <c r="D261" s="4" t="s">
        <v>281</v>
      </c>
      <c r="E261" s="6">
        <v>11940.0</v>
      </c>
      <c r="F261" s="7">
        <v>12.0</v>
      </c>
      <c r="G261" s="8">
        <f t="shared" si="20"/>
        <v>995</v>
      </c>
      <c r="H261" s="5" t="s">
        <v>25</v>
      </c>
      <c r="I261" s="5" t="s">
        <v>128</v>
      </c>
      <c r="J261" s="5"/>
      <c r="K261" s="12" t="str">
        <f t="shared" si="23"/>
        <v>#NAME?</v>
      </c>
      <c r="L261" s="11" t="s">
        <v>20</v>
      </c>
    </row>
    <row r="262">
      <c r="A262" s="13" t="s">
        <v>381</v>
      </c>
      <c r="B262" s="5"/>
      <c r="C262" s="14">
        <v>386.0</v>
      </c>
      <c r="D262" s="4" t="s">
        <v>281</v>
      </c>
      <c r="E262" s="6">
        <v>3510.0</v>
      </c>
      <c r="F262" s="7">
        <v>12.0</v>
      </c>
      <c r="G262" s="8">
        <f t="shared" si="20"/>
        <v>292.5</v>
      </c>
      <c r="H262" s="5" t="s">
        <v>25</v>
      </c>
      <c r="I262" s="5" t="s">
        <v>128</v>
      </c>
      <c r="J262" s="5"/>
      <c r="K262" s="12" t="str">
        <f t="shared" si="23"/>
        <v>#NAME?</v>
      </c>
      <c r="L262" s="11" t="s">
        <v>20</v>
      </c>
    </row>
    <row r="263">
      <c r="A263" s="13" t="s">
        <v>382</v>
      </c>
      <c r="B263" s="5"/>
      <c r="C263" s="14">
        <v>328.0</v>
      </c>
      <c r="D263" s="4" t="s">
        <v>281</v>
      </c>
      <c r="E263" s="6">
        <v>3150.0</v>
      </c>
      <c r="F263" s="7">
        <v>12.0</v>
      </c>
      <c r="G263" s="8">
        <f t="shared" si="20"/>
        <v>262.5</v>
      </c>
      <c r="H263" s="5" t="s">
        <v>25</v>
      </c>
      <c r="I263" s="5" t="s">
        <v>128</v>
      </c>
      <c r="J263" s="5"/>
      <c r="K263" s="12" t="str">
        <f t="shared" si="23"/>
        <v>#NAME?</v>
      </c>
      <c r="L263" s="11" t="s">
        <v>20</v>
      </c>
    </row>
    <row r="264">
      <c r="A264" s="13" t="s">
        <v>383</v>
      </c>
      <c r="B264" s="5"/>
      <c r="C264" s="14">
        <v>10041.0</v>
      </c>
      <c r="D264" s="4" t="s">
        <v>281</v>
      </c>
      <c r="E264" s="6">
        <v>4255.0</v>
      </c>
      <c r="F264" s="7">
        <v>50.0</v>
      </c>
      <c r="G264" s="8">
        <f t="shared" si="20"/>
        <v>85.1</v>
      </c>
      <c r="H264" s="5"/>
      <c r="I264" s="5"/>
      <c r="J264" s="5"/>
      <c r="K264" s="9"/>
      <c r="L264" s="11" t="s">
        <v>20</v>
      </c>
    </row>
    <row r="265">
      <c r="A265" s="13" t="s">
        <v>384</v>
      </c>
      <c r="B265" s="5"/>
      <c r="C265" s="13">
        <v>10073.0</v>
      </c>
      <c r="D265" s="4" t="s">
        <v>281</v>
      </c>
      <c r="E265" s="6">
        <v>4060.0</v>
      </c>
      <c r="F265" s="7">
        <v>24.0</v>
      </c>
      <c r="G265" s="8">
        <f t="shared" si="20"/>
        <v>169.1666667</v>
      </c>
      <c r="H265" s="5"/>
      <c r="I265" s="5"/>
      <c r="J265" s="5"/>
      <c r="K265" s="9"/>
      <c r="L265" s="11" t="s">
        <v>20</v>
      </c>
    </row>
    <row r="266">
      <c r="A266" s="13" t="s">
        <v>385</v>
      </c>
      <c r="B266" s="5"/>
      <c r="C266" s="13">
        <v>460.0</v>
      </c>
      <c r="D266" s="4" t="s">
        <v>281</v>
      </c>
      <c r="E266" s="6">
        <v>4060.0</v>
      </c>
      <c r="F266" s="7">
        <v>24.0</v>
      </c>
      <c r="G266" s="8">
        <f t="shared" si="20"/>
        <v>169.1666667</v>
      </c>
      <c r="H266" s="5"/>
      <c r="I266" s="5"/>
      <c r="J266" s="5"/>
      <c r="K266" s="9"/>
      <c r="L266" s="11" t="s">
        <v>20</v>
      </c>
    </row>
    <row r="267">
      <c r="A267" s="13" t="s">
        <v>386</v>
      </c>
      <c r="B267" s="5"/>
      <c r="C267" s="13">
        <v>461.0</v>
      </c>
      <c r="D267" s="4" t="s">
        <v>281</v>
      </c>
      <c r="E267" s="6">
        <v>4060.0</v>
      </c>
      <c r="F267" s="7">
        <v>24.0</v>
      </c>
      <c r="G267" s="8">
        <f t="shared" si="20"/>
        <v>169.1666667</v>
      </c>
      <c r="H267" s="5" t="s">
        <v>25</v>
      </c>
      <c r="I267" s="5" t="s">
        <v>128</v>
      </c>
      <c r="J267" s="5"/>
      <c r="K267" s="12" t="str">
        <f t="shared" ref="K267:K268" si="24">_xludf.IFS(H267="SI",J267/F267,H267="NO",1)</f>
        <v>#NAME?</v>
      </c>
      <c r="L267" s="11" t="s">
        <v>20</v>
      </c>
    </row>
    <row r="268">
      <c r="A268" s="13" t="s">
        <v>387</v>
      </c>
      <c r="B268" s="5"/>
      <c r="C268" s="13">
        <v>459.0</v>
      </c>
      <c r="D268" s="4" t="s">
        <v>281</v>
      </c>
      <c r="E268" s="6">
        <v>4060.0</v>
      </c>
      <c r="F268" s="7">
        <v>24.0</v>
      </c>
      <c r="G268" s="8">
        <f t="shared" si="20"/>
        <v>169.1666667</v>
      </c>
      <c r="H268" s="5" t="s">
        <v>25</v>
      </c>
      <c r="I268" s="5" t="s">
        <v>128</v>
      </c>
      <c r="J268" s="5"/>
      <c r="K268" s="12" t="str">
        <f t="shared" si="24"/>
        <v>#NAME?</v>
      </c>
      <c r="L268" s="11" t="s">
        <v>20</v>
      </c>
    </row>
    <row r="269">
      <c r="A269" s="4" t="s">
        <v>388</v>
      </c>
      <c r="B269" s="5"/>
      <c r="C269" s="10" t="s">
        <v>389</v>
      </c>
      <c r="D269" s="4" t="s">
        <v>281</v>
      </c>
      <c r="E269" s="6">
        <v>4599.0</v>
      </c>
      <c r="F269" s="7">
        <v>30.0</v>
      </c>
      <c r="G269" s="8">
        <f t="shared" si="20"/>
        <v>153.3</v>
      </c>
      <c r="H269" s="5"/>
      <c r="I269" s="5"/>
      <c r="J269" s="5"/>
      <c r="K269" s="9"/>
      <c r="L269" s="11" t="s">
        <v>20</v>
      </c>
    </row>
    <row r="270">
      <c r="A270" s="13" t="s">
        <v>390</v>
      </c>
      <c r="B270" s="5"/>
      <c r="C270" s="14" t="s">
        <v>391</v>
      </c>
      <c r="D270" s="4" t="s">
        <v>281</v>
      </c>
      <c r="E270" s="6">
        <v>4560.0</v>
      </c>
      <c r="F270" s="7">
        <v>12.0</v>
      </c>
      <c r="G270" s="8">
        <f t="shared" si="20"/>
        <v>380</v>
      </c>
      <c r="H270" s="5" t="s">
        <v>25</v>
      </c>
      <c r="I270" s="5" t="s">
        <v>128</v>
      </c>
      <c r="J270" s="5"/>
      <c r="K270" s="12" t="str">
        <f t="shared" ref="K270:K277" si="25">_xludf.IFS(H270="SI",J270/F270,H270="NO",1)</f>
        <v>#NAME?</v>
      </c>
      <c r="L270" s="11" t="s">
        <v>20</v>
      </c>
    </row>
    <row r="271">
      <c r="A271" s="13" t="s">
        <v>392</v>
      </c>
      <c r="B271" s="5"/>
      <c r="C271" s="14">
        <v>121290.0</v>
      </c>
      <c r="D271" s="4" t="s">
        <v>281</v>
      </c>
      <c r="E271" s="6">
        <v>4560.0</v>
      </c>
      <c r="F271" s="7">
        <v>12.0</v>
      </c>
      <c r="G271" s="8">
        <f t="shared" si="20"/>
        <v>380</v>
      </c>
      <c r="H271" s="5"/>
      <c r="I271" s="5"/>
      <c r="J271" s="5"/>
      <c r="K271" s="12" t="str">
        <f t="shared" si="25"/>
        <v>#NAME?</v>
      </c>
      <c r="L271" s="11" t="s">
        <v>20</v>
      </c>
    </row>
    <row r="272">
      <c r="A272" s="13" t="s">
        <v>393</v>
      </c>
      <c r="B272" s="5"/>
      <c r="C272" s="14" t="s">
        <v>394</v>
      </c>
      <c r="D272" s="4" t="s">
        <v>281</v>
      </c>
      <c r="E272" s="6">
        <v>4560.0</v>
      </c>
      <c r="F272" s="7">
        <v>12.0</v>
      </c>
      <c r="G272" s="8">
        <f t="shared" si="20"/>
        <v>380</v>
      </c>
      <c r="H272" s="5"/>
      <c r="I272" s="5"/>
      <c r="J272" s="5"/>
      <c r="K272" s="12" t="str">
        <f t="shared" si="25"/>
        <v>#NAME?</v>
      </c>
      <c r="L272" s="11" t="s">
        <v>20</v>
      </c>
    </row>
    <row r="273">
      <c r="A273" s="13" t="s">
        <v>395</v>
      </c>
      <c r="B273" s="5"/>
      <c r="C273" s="14" t="s">
        <v>396</v>
      </c>
      <c r="D273" s="4" t="s">
        <v>281</v>
      </c>
      <c r="E273" s="6">
        <v>4560.0</v>
      </c>
      <c r="F273" s="7">
        <v>12.0</v>
      </c>
      <c r="G273" s="8">
        <f t="shared" si="20"/>
        <v>380</v>
      </c>
      <c r="H273" s="5"/>
      <c r="I273" s="5"/>
      <c r="J273" s="5"/>
      <c r="K273" s="12" t="str">
        <f t="shared" si="25"/>
        <v>#NAME?</v>
      </c>
      <c r="L273" s="11" t="s">
        <v>20</v>
      </c>
    </row>
    <row r="274">
      <c r="A274" s="13" t="s">
        <v>397</v>
      </c>
      <c r="B274" s="5"/>
      <c r="C274" s="14">
        <v>7.798186034126E12</v>
      </c>
      <c r="D274" s="4" t="s">
        <v>281</v>
      </c>
      <c r="E274" s="6" t="e">
        <v>#REF!</v>
      </c>
      <c r="F274" s="7">
        <v>12.0</v>
      </c>
      <c r="G274" s="8" t="str">
        <f t="shared" si="20"/>
        <v>#REF!</v>
      </c>
      <c r="H274" s="5"/>
      <c r="I274" s="5"/>
      <c r="J274" s="5"/>
      <c r="K274" s="12" t="str">
        <f t="shared" si="25"/>
        <v>#NAME?</v>
      </c>
      <c r="L274" s="11" t="s">
        <v>20</v>
      </c>
    </row>
    <row r="275">
      <c r="A275" s="13" t="s">
        <v>398</v>
      </c>
      <c r="B275" s="5"/>
      <c r="C275" s="14">
        <v>14357.0</v>
      </c>
      <c r="D275" s="4" t="s">
        <v>281</v>
      </c>
      <c r="E275" s="6">
        <v>4560.0</v>
      </c>
      <c r="F275" s="7">
        <v>12.0</v>
      </c>
      <c r="G275" s="8">
        <f t="shared" si="20"/>
        <v>380</v>
      </c>
      <c r="H275" s="5" t="s">
        <v>62</v>
      </c>
      <c r="I275" s="5" t="s">
        <v>128</v>
      </c>
      <c r="J275" s="5"/>
      <c r="K275" s="12" t="str">
        <f t="shared" si="25"/>
        <v>#NAME?</v>
      </c>
      <c r="L275" s="11" t="s">
        <v>20</v>
      </c>
    </row>
    <row r="276">
      <c r="A276" s="4" t="s">
        <v>399</v>
      </c>
      <c r="B276" s="5"/>
      <c r="C276" s="14">
        <v>326.0</v>
      </c>
      <c r="D276" s="4" t="s">
        <v>400</v>
      </c>
      <c r="E276" s="6">
        <v>5414.73</v>
      </c>
      <c r="F276" s="7">
        <v>18.0</v>
      </c>
      <c r="G276" s="8">
        <f t="shared" si="20"/>
        <v>300.8183333</v>
      </c>
      <c r="H276" s="5" t="s">
        <v>62</v>
      </c>
      <c r="I276" s="5" t="s">
        <v>128</v>
      </c>
      <c r="J276" s="5"/>
      <c r="K276" s="12" t="str">
        <f t="shared" si="25"/>
        <v>#NAME?</v>
      </c>
      <c r="L276" s="11" t="s">
        <v>20</v>
      </c>
    </row>
    <row r="277">
      <c r="A277" s="4" t="s">
        <v>401</v>
      </c>
      <c r="B277" s="5"/>
      <c r="C277" s="10">
        <v>324.0</v>
      </c>
      <c r="D277" s="4" t="s">
        <v>400</v>
      </c>
      <c r="E277" s="6">
        <v>8296.39</v>
      </c>
      <c r="F277" s="7">
        <v>18.0</v>
      </c>
      <c r="G277" s="8">
        <f t="shared" si="20"/>
        <v>460.9105556</v>
      </c>
      <c r="H277" s="5" t="s">
        <v>62</v>
      </c>
      <c r="I277" s="5" t="s">
        <v>26</v>
      </c>
      <c r="J277" s="5"/>
      <c r="K277" s="12" t="str">
        <f t="shared" si="25"/>
        <v>#NAME?</v>
      </c>
      <c r="L277" s="11" t="s">
        <v>20</v>
      </c>
    </row>
    <row r="278">
      <c r="A278" s="4" t="s">
        <v>402</v>
      </c>
      <c r="B278" s="5"/>
      <c r="C278" s="14">
        <v>1813.0</v>
      </c>
      <c r="D278" s="4" t="s">
        <v>400</v>
      </c>
      <c r="E278" s="6">
        <v>6800.37</v>
      </c>
      <c r="F278" s="7">
        <v>18.0</v>
      </c>
      <c r="G278" s="8">
        <f t="shared" si="20"/>
        <v>377.7983333</v>
      </c>
      <c r="H278" s="5"/>
      <c r="I278" s="5"/>
      <c r="J278" s="5"/>
      <c r="K278" s="9"/>
      <c r="L278" s="11" t="s">
        <v>20</v>
      </c>
    </row>
    <row r="279">
      <c r="A279" s="4" t="s">
        <v>403</v>
      </c>
      <c r="B279" s="5"/>
      <c r="C279" s="10">
        <v>645.0</v>
      </c>
      <c r="D279" s="4" t="s">
        <v>400</v>
      </c>
      <c r="E279" s="6">
        <v>12493.8</v>
      </c>
      <c r="F279" s="7">
        <v>8.0</v>
      </c>
      <c r="G279" s="8">
        <f t="shared" si="20"/>
        <v>1561.725</v>
      </c>
      <c r="H279" s="5"/>
      <c r="I279" s="5"/>
      <c r="J279" s="5"/>
      <c r="K279" s="9"/>
      <c r="L279" s="11" t="s">
        <v>20</v>
      </c>
    </row>
    <row r="280">
      <c r="A280" s="4" t="s">
        <v>404</v>
      </c>
      <c r="B280" s="5"/>
      <c r="C280" s="10">
        <v>662.0</v>
      </c>
      <c r="D280" s="4" t="s">
        <v>400</v>
      </c>
      <c r="E280" s="6">
        <v>10105.07</v>
      </c>
      <c r="F280" s="7">
        <v>18.0</v>
      </c>
      <c r="G280" s="8">
        <f t="shared" si="20"/>
        <v>561.3927778</v>
      </c>
      <c r="H280" s="5"/>
      <c r="I280" s="5"/>
      <c r="J280" s="5"/>
      <c r="K280" s="9"/>
      <c r="L280" s="11" t="s">
        <v>20</v>
      </c>
    </row>
    <row r="281">
      <c r="A281" s="4" t="s">
        <v>405</v>
      </c>
      <c r="B281" s="5"/>
      <c r="C281" s="10">
        <v>2504.0</v>
      </c>
      <c r="D281" s="4" t="s">
        <v>400</v>
      </c>
      <c r="E281" s="6">
        <v>14841.99</v>
      </c>
      <c r="F281" s="7">
        <v>8.0</v>
      </c>
      <c r="G281" s="8">
        <f t="shared" si="20"/>
        <v>1855.24875</v>
      </c>
      <c r="H281" s="5"/>
      <c r="I281" s="5"/>
      <c r="J281" s="5"/>
      <c r="K281" s="9"/>
      <c r="L281" s="11" t="s">
        <v>20</v>
      </c>
    </row>
    <row r="282">
      <c r="A282" s="4" t="s">
        <v>406</v>
      </c>
      <c r="B282" s="5"/>
      <c r="C282" s="10">
        <v>566.0</v>
      </c>
      <c r="D282" s="4" t="s">
        <v>400</v>
      </c>
      <c r="E282" s="6">
        <v>9198.0</v>
      </c>
      <c r="F282" s="7">
        <v>18.0</v>
      </c>
      <c r="G282" s="8">
        <f t="shared" si="20"/>
        <v>511</v>
      </c>
      <c r="H282" s="5"/>
      <c r="I282" s="5"/>
      <c r="J282" s="5"/>
      <c r="K282" s="9"/>
      <c r="L282" s="11" t="s">
        <v>20</v>
      </c>
    </row>
    <row r="283">
      <c r="A283" s="4" t="s">
        <v>407</v>
      </c>
      <c r="B283" s="5"/>
      <c r="C283" s="10">
        <v>562.0</v>
      </c>
      <c r="D283" s="4" t="s">
        <v>400</v>
      </c>
      <c r="E283" s="6">
        <v>13791.7</v>
      </c>
      <c r="F283" s="7">
        <v>8.0</v>
      </c>
      <c r="G283" s="8">
        <f t="shared" si="20"/>
        <v>1723.9625</v>
      </c>
      <c r="H283" s="5"/>
      <c r="I283" s="5"/>
      <c r="J283" s="5"/>
      <c r="K283" s="9"/>
      <c r="L283" s="11" t="s">
        <v>20</v>
      </c>
    </row>
    <row r="284">
      <c r="A284" s="13" t="s">
        <v>408</v>
      </c>
      <c r="B284" s="5"/>
      <c r="C284" s="14">
        <v>326.0</v>
      </c>
      <c r="D284" s="4" t="s">
        <v>400</v>
      </c>
      <c r="E284" s="6">
        <v>5414.73</v>
      </c>
      <c r="F284" s="7">
        <v>18.0</v>
      </c>
      <c r="G284" s="8">
        <f t="shared" si="20"/>
        <v>300.8183333</v>
      </c>
      <c r="H284" s="5" t="s">
        <v>62</v>
      </c>
      <c r="I284" s="5" t="s">
        <v>128</v>
      </c>
      <c r="J284" s="5"/>
      <c r="K284" s="12" t="str">
        <f t="shared" ref="K284:K290" si="26">_xludf.IFS(H284="SI",J284/F284,H284="NO",1)</f>
        <v>#NAME?</v>
      </c>
      <c r="L284" s="11" t="s">
        <v>20</v>
      </c>
    </row>
    <row r="285">
      <c r="A285" s="13" t="s">
        <v>409</v>
      </c>
      <c r="B285" s="5"/>
      <c r="C285" s="14">
        <v>324.0</v>
      </c>
      <c r="D285" s="4" t="s">
        <v>400</v>
      </c>
      <c r="E285" s="6">
        <v>8296.39</v>
      </c>
      <c r="F285" s="7">
        <v>18.0</v>
      </c>
      <c r="G285" s="8">
        <f t="shared" si="20"/>
        <v>460.9105556</v>
      </c>
      <c r="H285" s="5" t="s">
        <v>62</v>
      </c>
      <c r="I285" s="5" t="s">
        <v>128</v>
      </c>
      <c r="J285" s="5"/>
      <c r="K285" s="12" t="str">
        <f t="shared" si="26"/>
        <v>#NAME?</v>
      </c>
      <c r="L285" s="11" t="s">
        <v>20</v>
      </c>
    </row>
    <row r="286">
      <c r="A286" s="13" t="s">
        <v>410</v>
      </c>
      <c r="B286" s="5"/>
      <c r="C286" s="14">
        <v>1814.0</v>
      </c>
      <c r="D286" s="4" t="s">
        <v>400</v>
      </c>
      <c r="E286" s="6">
        <v>6800.37</v>
      </c>
      <c r="F286" s="7">
        <v>18.0</v>
      </c>
      <c r="G286" s="8">
        <f t="shared" si="20"/>
        <v>377.7983333</v>
      </c>
      <c r="H286" s="5" t="s">
        <v>62</v>
      </c>
      <c r="I286" s="5" t="s">
        <v>128</v>
      </c>
      <c r="J286" s="5"/>
      <c r="K286" s="12" t="str">
        <f t="shared" si="26"/>
        <v>#NAME?</v>
      </c>
      <c r="L286" s="11" t="s">
        <v>20</v>
      </c>
    </row>
    <row r="287">
      <c r="A287" s="13" t="s">
        <v>411</v>
      </c>
      <c r="B287" s="5"/>
      <c r="C287" s="14">
        <v>1813.0</v>
      </c>
      <c r="D287" s="4" t="s">
        <v>400</v>
      </c>
      <c r="E287" s="6">
        <v>6800.37</v>
      </c>
      <c r="F287" s="7">
        <v>18.0</v>
      </c>
      <c r="G287" s="8">
        <f t="shared" si="20"/>
        <v>377.7983333</v>
      </c>
      <c r="H287" s="5" t="s">
        <v>62</v>
      </c>
      <c r="I287" s="5" t="s">
        <v>128</v>
      </c>
      <c r="J287" s="5"/>
      <c r="K287" s="12" t="str">
        <f t="shared" si="26"/>
        <v>#NAME?</v>
      </c>
      <c r="L287" s="11" t="s">
        <v>20</v>
      </c>
    </row>
    <row r="288">
      <c r="A288" s="13" t="s">
        <v>412</v>
      </c>
      <c r="B288" s="5"/>
      <c r="C288" s="14">
        <v>1812.0</v>
      </c>
      <c r="D288" s="4" t="s">
        <v>400</v>
      </c>
      <c r="E288" s="6">
        <v>6800.37</v>
      </c>
      <c r="F288" s="7">
        <v>18.0</v>
      </c>
      <c r="G288" s="8">
        <f t="shared" si="20"/>
        <v>377.7983333</v>
      </c>
      <c r="H288" s="5" t="s">
        <v>62</v>
      </c>
      <c r="I288" s="5" t="s">
        <v>26</v>
      </c>
      <c r="J288" s="5"/>
      <c r="K288" s="12" t="str">
        <f t="shared" si="26"/>
        <v>#NAME?</v>
      </c>
      <c r="L288" s="11" t="s">
        <v>20</v>
      </c>
    </row>
    <row r="289">
      <c r="A289" s="13" t="s">
        <v>413</v>
      </c>
      <c r="B289" s="5"/>
      <c r="C289" s="14">
        <v>325.0</v>
      </c>
      <c r="D289" s="4" t="s">
        <v>400</v>
      </c>
      <c r="E289" s="6">
        <v>8296.39</v>
      </c>
      <c r="F289" s="7">
        <v>18.0</v>
      </c>
      <c r="G289" s="8">
        <f t="shared" si="20"/>
        <v>460.9105556</v>
      </c>
      <c r="H289" s="5" t="s">
        <v>62</v>
      </c>
      <c r="I289" s="5" t="s">
        <v>26</v>
      </c>
      <c r="J289" s="5"/>
      <c r="K289" s="12" t="str">
        <f t="shared" si="26"/>
        <v>#NAME?</v>
      </c>
      <c r="L289" s="11" t="s">
        <v>20</v>
      </c>
    </row>
    <row r="290">
      <c r="A290" s="13" t="s">
        <v>414</v>
      </c>
      <c r="B290" s="5"/>
      <c r="C290" s="14">
        <v>323.0</v>
      </c>
      <c r="D290" s="4" t="s">
        <v>400</v>
      </c>
      <c r="E290" s="6">
        <v>8296.39</v>
      </c>
      <c r="F290" s="7">
        <v>18.0</v>
      </c>
      <c r="G290" s="8">
        <f t="shared" si="20"/>
        <v>460.9105556</v>
      </c>
      <c r="H290" s="5" t="s">
        <v>62</v>
      </c>
      <c r="I290" s="5" t="s">
        <v>26</v>
      </c>
      <c r="J290" s="5"/>
      <c r="K290" s="12" t="str">
        <f t="shared" si="26"/>
        <v>#NAME?</v>
      </c>
      <c r="L290" s="11" t="s">
        <v>20</v>
      </c>
    </row>
    <row r="291">
      <c r="A291" s="13" t="s">
        <v>415</v>
      </c>
      <c r="B291" s="5"/>
      <c r="C291" s="14">
        <v>381.0</v>
      </c>
      <c r="D291" s="4" t="s">
        <v>400</v>
      </c>
      <c r="E291" s="6">
        <v>5414.73</v>
      </c>
      <c r="F291" s="7">
        <v>18.0</v>
      </c>
      <c r="G291" s="8">
        <f t="shared" si="20"/>
        <v>300.8183333</v>
      </c>
      <c r="H291" s="5"/>
      <c r="I291" s="5"/>
      <c r="J291" s="5"/>
      <c r="K291" s="9"/>
      <c r="L291" s="11" t="s">
        <v>20</v>
      </c>
    </row>
    <row r="292">
      <c r="A292" s="13" t="s">
        <v>416</v>
      </c>
      <c r="B292" s="5"/>
      <c r="C292" s="14">
        <v>322.0</v>
      </c>
      <c r="D292" s="4" t="s">
        <v>400</v>
      </c>
      <c r="E292" s="6">
        <v>8296.39</v>
      </c>
      <c r="F292" s="7">
        <v>18.0</v>
      </c>
      <c r="G292" s="8">
        <f t="shared" si="20"/>
        <v>460.9105556</v>
      </c>
      <c r="H292" s="5" t="s">
        <v>62</v>
      </c>
      <c r="I292" s="5" t="s">
        <v>26</v>
      </c>
      <c r="J292" s="5"/>
      <c r="K292" s="12" t="str">
        <f>_xludf.IFS(H292="SI",J292/F292,H292="NO",1)</f>
        <v>#NAME?</v>
      </c>
      <c r="L292" s="11" t="s">
        <v>20</v>
      </c>
    </row>
    <row r="293">
      <c r="A293" s="4" t="s">
        <v>417</v>
      </c>
      <c r="B293" s="5"/>
      <c r="C293" s="10">
        <v>13.0</v>
      </c>
      <c r="D293" s="4" t="s">
        <v>418</v>
      </c>
      <c r="E293" s="6">
        <v>1663.2</v>
      </c>
      <c r="F293" s="7">
        <v>1.0</v>
      </c>
      <c r="G293" s="8">
        <f t="shared" si="20"/>
        <v>1663.2</v>
      </c>
      <c r="H293" s="5"/>
      <c r="I293" s="5"/>
      <c r="J293" s="5"/>
      <c r="K293" s="9"/>
      <c r="L293" s="5"/>
    </row>
    <row r="294">
      <c r="A294" s="4" t="s">
        <v>419</v>
      </c>
      <c r="B294" s="5"/>
      <c r="C294" s="10">
        <v>1823.0</v>
      </c>
      <c r="D294" s="4" t="s">
        <v>418</v>
      </c>
      <c r="E294" s="6">
        <v>741.0</v>
      </c>
      <c r="F294" s="7">
        <v>1.0</v>
      </c>
      <c r="G294" s="8">
        <f t="shared" si="20"/>
        <v>741</v>
      </c>
      <c r="H294" s="5" t="s">
        <v>62</v>
      </c>
      <c r="I294" s="5" t="s">
        <v>26</v>
      </c>
      <c r="J294" s="5"/>
      <c r="K294" s="12" t="str">
        <f t="shared" ref="K294:K296" si="27">_xludf.IFS(H294="SI",J294/F294,H294="NO",1)</f>
        <v>#NAME?</v>
      </c>
      <c r="L294" s="5"/>
    </row>
    <row r="295">
      <c r="A295" s="4" t="s">
        <v>420</v>
      </c>
      <c r="B295" s="5"/>
      <c r="C295" s="10" t="s">
        <v>421</v>
      </c>
      <c r="D295" s="4" t="s">
        <v>418</v>
      </c>
      <c r="E295" s="6">
        <v>1460.0</v>
      </c>
      <c r="F295" s="7">
        <v>1.0</v>
      </c>
      <c r="G295" s="8">
        <f t="shared" si="20"/>
        <v>1460</v>
      </c>
      <c r="H295" s="5" t="s">
        <v>62</v>
      </c>
      <c r="I295" s="5" t="s">
        <v>26</v>
      </c>
      <c r="J295" s="5"/>
      <c r="K295" s="12" t="str">
        <f t="shared" si="27"/>
        <v>#NAME?</v>
      </c>
      <c r="L295" s="5"/>
    </row>
    <row r="296">
      <c r="A296" s="13" t="s">
        <v>422</v>
      </c>
      <c r="B296" s="5"/>
      <c r="C296" s="14">
        <v>10116.0</v>
      </c>
      <c r="D296" s="4" t="s">
        <v>418</v>
      </c>
      <c r="E296" s="6">
        <v>2770.0</v>
      </c>
      <c r="F296" s="7">
        <v>1.0</v>
      </c>
      <c r="G296" s="8">
        <f t="shared" si="20"/>
        <v>2770</v>
      </c>
      <c r="H296" s="5" t="s">
        <v>62</v>
      </c>
      <c r="I296" s="5" t="s">
        <v>26</v>
      </c>
      <c r="J296" s="5"/>
      <c r="K296" s="12" t="str">
        <f t="shared" si="27"/>
        <v>#NAME?</v>
      </c>
      <c r="L296" s="5"/>
    </row>
    <row r="297">
      <c r="A297" s="13" t="s">
        <v>423</v>
      </c>
      <c r="B297" s="5"/>
      <c r="C297" s="14">
        <v>1824.0</v>
      </c>
      <c r="D297" s="4" t="s">
        <v>418</v>
      </c>
      <c r="E297" s="6">
        <v>2770.0</v>
      </c>
      <c r="F297" s="7">
        <v>1.0</v>
      </c>
      <c r="G297" s="8">
        <f t="shared" si="20"/>
        <v>2770</v>
      </c>
      <c r="H297" s="5"/>
      <c r="I297" s="5"/>
      <c r="J297" s="5"/>
      <c r="K297" s="9"/>
      <c r="L297" s="5"/>
    </row>
    <row r="298">
      <c r="A298" s="13" t="s">
        <v>424</v>
      </c>
      <c r="B298" s="5"/>
      <c r="C298" s="14" t="s">
        <v>266</v>
      </c>
      <c r="D298" s="4" t="s">
        <v>418</v>
      </c>
      <c r="E298" s="6">
        <v>360.0</v>
      </c>
      <c r="F298" s="7">
        <v>1.0</v>
      </c>
      <c r="G298" s="8">
        <f t="shared" si="20"/>
        <v>360</v>
      </c>
      <c r="H298" s="5"/>
      <c r="I298" s="5"/>
      <c r="J298" s="5"/>
      <c r="K298" s="9"/>
      <c r="L298" s="5"/>
    </row>
    <row r="299">
      <c r="A299" s="13" t="s">
        <v>425</v>
      </c>
      <c r="B299" s="5"/>
      <c r="C299" s="14">
        <v>641.0</v>
      </c>
      <c r="D299" s="4" t="s">
        <v>418</v>
      </c>
      <c r="E299" s="6" t="e">
        <v>#REF!</v>
      </c>
      <c r="F299" s="7">
        <v>1.0</v>
      </c>
      <c r="G299" s="8" t="str">
        <f t="shared" si="20"/>
        <v>#REF!</v>
      </c>
      <c r="H299" s="5"/>
      <c r="I299" s="5"/>
      <c r="J299" s="5"/>
      <c r="K299" s="9"/>
      <c r="L299" s="5"/>
    </row>
    <row r="300">
      <c r="A300" s="13" t="s">
        <v>426</v>
      </c>
      <c r="B300" s="5"/>
      <c r="C300" s="14">
        <v>642.0</v>
      </c>
      <c r="D300" s="4" t="s">
        <v>418</v>
      </c>
      <c r="E300" s="6" t="e">
        <v>#REF!</v>
      </c>
      <c r="F300" s="7">
        <v>1.0</v>
      </c>
      <c r="G300" s="8" t="str">
        <f t="shared" si="20"/>
        <v>#REF!</v>
      </c>
      <c r="H300" s="5"/>
      <c r="I300" s="5"/>
      <c r="J300" s="5"/>
      <c r="K300" s="9"/>
      <c r="L300" s="5"/>
    </row>
    <row r="301">
      <c r="A301" s="13" t="s">
        <v>427</v>
      </c>
      <c r="B301" s="5"/>
      <c r="C301" s="14">
        <v>636.0</v>
      </c>
      <c r="D301" s="4" t="s">
        <v>418</v>
      </c>
      <c r="E301" s="6">
        <v>1210.0</v>
      </c>
      <c r="F301" s="7">
        <v>1.0</v>
      </c>
      <c r="G301" s="8">
        <f t="shared" si="20"/>
        <v>1210</v>
      </c>
      <c r="H301" s="5" t="s">
        <v>25</v>
      </c>
      <c r="I301" s="5" t="s">
        <v>43</v>
      </c>
      <c r="J301" s="5"/>
      <c r="K301" s="12" t="str">
        <f t="shared" ref="K301:K307" si="28">_xludf.IFS(H301="SI",J301/F301,H301="NO",1)</f>
        <v>#NAME?</v>
      </c>
      <c r="L301" s="5"/>
    </row>
    <row r="302">
      <c r="A302" s="13" t="s">
        <v>428</v>
      </c>
      <c r="B302" s="5"/>
      <c r="C302" s="14">
        <v>635.0</v>
      </c>
      <c r="D302" s="4" t="s">
        <v>418</v>
      </c>
      <c r="E302" s="6">
        <v>1210.0</v>
      </c>
      <c r="F302" s="7">
        <v>1.0</v>
      </c>
      <c r="G302" s="8">
        <f t="shared" si="20"/>
        <v>1210</v>
      </c>
      <c r="H302" s="5" t="s">
        <v>25</v>
      </c>
      <c r="I302" s="5" t="s">
        <v>43</v>
      </c>
      <c r="J302" s="5"/>
      <c r="K302" s="12" t="str">
        <f t="shared" si="28"/>
        <v>#NAME?</v>
      </c>
      <c r="L302" s="5"/>
    </row>
    <row r="303">
      <c r="A303" s="4" t="s">
        <v>429</v>
      </c>
      <c r="B303" s="5"/>
      <c r="C303" s="14">
        <v>1626266.0</v>
      </c>
      <c r="D303" s="4" t="s">
        <v>418</v>
      </c>
      <c r="E303" s="6">
        <v>2330.0</v>
      </c>
      <c r="F303" s="7">
        <v>1.0</v>
      </c>
      <c r="G303" s="8">
        <f t="shared" si="20"/>
        <v>2330</v>
      </c>
      <c r="H303" s="5" t="s">
        <v>25</v>
      </c>
      <c r="I303" s="5" t="s">
        <v>43</v>
      </c>
      <c r="J303" s="5"/>
      <c r="K303" s="12" t="str">
        <f t="shared" si="28"/>
        <v>#NAME?</v>
      </c>
      <c r="L303" s="5"/>
    </row>
    <row r="304">
      <c r="A304" s="13" t="s">
        <v>430</v>
      </c>
      <c r="B304" s="5"/>
      <c r="C304" s="14">
        <v>1626266.0</v>
      </c>
      <c r="D304" s="4" t="s">
        <v>418</v>
      </c>
      <c r="E304" s="6">
        <v>2330.0</v>
      </c>
      <c r="F304" s="7">
        <v>1.0</v>
      </c>
      <c r="G304" s="8">
        <f t="shared" si="20"/>
        <v>2330</v>
      </c>
      <c r="H304" s="5" t="s">
        <v>25</v>
      </c>
      <c r="I304" s="5" t="s">
        <v>43</v>
      </c>
      <c r="J304" s="5"/>
      <c r="K304" s="12" t="str">
        <f t="shared" si="28"/>
        <v>#NAME?</v>
      </c>
      <c r="L304" s="5"/>
    </row>
    <row r="305">
      <c r="A305" s="4" t="s">
        <v>431</v>
      </c>
      <c r="B305" s="5"/>
      <c r="C305" s="14">
        <v>222334.0</v>
      </c>
      <c r="D305" s="4" t="s">
        <v>418</v>
      </c>
      <c r="E305" s="6">
        <v>2330.0</v>
      </c>
      <c r="F305" s="7">
        <v>1.0</v>
      </c>
      <c r="G305" s="8">
        <f t="shared" si="20"/>
        <v>2330</v>
      </c>
      <c r="H305" s="5" t="s">
        <v>25</v>
      </c>
      <c r="I305" s="5" t="s">
        <v>43</v>
      </c>
      <c r="J305" s="5"/>
      <c r="K305" s="12" t="str">
        <f t="shared" si="28"/>
        <v>#NAME?</v>
      </c>
      <c r="L305" s="5"/>
    </row>
    <row r="306">
      <c r="A306" s="13" t="s">
        <v>432</v>
      </c>
      <c r="B306" s="5"/>
      <c r="C306" s="14">
        <v>1626262.0</v>
      </c>
      <c r="D306" s="4" t="s">
        <v>418</v>
      </c>
      <c r="E306" s="6">
        <v>2330.0</v>
      </c>
      <c r="F306" s="7">
        <v>1.0</v>
      </c>
      <c r="G306" s="8">
        <f t="shared" si="20"/>
        <v>2330</v>
      </c>
      <c r="H306" s="5" t="s">
        <v>25</v>
      </c>
      <c r="I306" s="5" t="s">
        <v>43</v>
      </c>
      <c r="J306" s="5"/>
      <c r="K306" s="12" t="str">
        <f t="shared" si="28"/>
        <v>#NAME?</v>
      </c>
      <c r="L306" s="5"/>
    </row>
    <row r="307">
      <c r="A307" s="4" t="s">
        <v>433</v>
      </c>
      <c r="B307" s="5"/>
      <c r="C307" s="14">
        <v>1.6262662E7</v>
      </c>
      <c r="D307" s="4" t="s">
        <v>418</v>
      </c>
      <c r="E307" s="6">
        <v>2330.0</v>
      </c>
      <c r="F307" s="7">
        <v>1.0</v>
      </c>
      <c r="G307" s="8">
        <f t="shared" si="20"/>
        <v>2330</v>
      </c>
      <c r="H307" s="5" t="s">
        <v>25</v>
      </c>
      <c r="I307" s="5" t="s">
        <v>43</v>
      </c>
      <c r="J307" s="5"/>
      <c r="K307" s="12" t="str">
        <f t="shared" si="28"/>
        <v>#NAME?</v>
      </c>
      <c r="L307" s="5"/>
    </row>
    <row r="308">
      <c r="A308" s="4" t="s">
        <v>434</v>
      </c>
      <c r="B308" s="5"/>
      <c r="C308" s="10">
        <v>20302.0</v>
      </c>
      <c r="D308" s="4" t="s">
        <v>418</v>
      </c>
      <c r="E308" s="6">
        <v>1065.0</v>
      </c>
      <c r="F308" s="7">
        <v>1.0</v>
      </c>
      <c r="G308" s="8">
        <f t="shared" si="20"/>
        <v>1065</v>
      </c>
      <c r="H308" s="5"/>
      <c r="I308" s="5"/>
      <c r="J308" s="5"/>
      <c r="K308" s="9"/>
      <c r="L308" s="5"/>
    </row>
    <row r="309">
      <c r="A309" s="4" t="s">
        <v>435</v>
      </c>
      <c r="B309" s="5"/>
      <c r="C309" s="10">
        <v>14563.0</v>
      </c>
      <c r="D309" s="4" t="s">
        <v>418</v>
      </c>
      <c r="E309" s="6">
        <v>1065.0</v>
      </c>
      <c r="F309" s="7">
        <v>1.0</v>
      </c>
      <c r="G309" s="8">
        <f t="shared" si="20"/>
        <v>1065</v>
      </c>
      <c r="H309" s="5"/>
      <c r="I309" s="5"/>
      <c r="J309" s="5"/>
      <c r="K309" s="9"/>
      <c r="L309" s="5"/>
    </row>
    <row r="310">
      <c r="A310" s="4" t="s">
        <v>436</v>
      </c>
      <c r="B310" s="5"/>
      <c r="C310" s="10" t="s">
        <v>437</v>
      </c>
      <c r="D310" s="4" t="s">
        <v>418</v>
      </c>
      <c r="E310" s="6">
        <v>1420.0</v>
      </c>
      <c r="F310" s="7">
        <v>1.0</v>
      </c>
      <c r="G310" s="8">
        <f t="shared" si="20"/>
        <v>1420</v>
      </c>
      <c r="H310" s="5"/>
      <c r="I310" s="5"/>
      <c r="J310" s="5"/>
      <c r="K310" s="9"/>
      <c r="L310" s="5"/>
    </row>
    <row r="311">
      <c r="A311" s="4" t="s">
        <v>438</v>
      </c>
      <c r="B311" s="5"/>
      <c r="C311" s="10" t="s">
        <v>439</v>
      </c>
      <c r="D311" s="4" t="s">
        <v>418</v>
      </c>
      <c r="E311" s="6">
        <v>1420.0</v>
      </c>
      <c r="F311" s="7">
        <v>1.0</v>
      </c>
      <c r="G311" s="8">
        <f t="shared" si="20"/>
        <v>1420</v>
      </c>
      <c r="H311" s="5"/>
      <c r="I311" s="5"/>
      <c r="J311" s="5"/>
      <c r="K311" s="9"/>
      <c r="L311" s="5"/>
    </row>
    <row r="312">
      <c r="A312" s="4" t="s">
        <v>440</v>
      </c>
      <c r="B312" s="5"/>
      <c r="C312" s="10" t="s">
        <v>441</v>
      </c>
      <c r="D312" s="4" t="s">
        <v>418</v>
      </c>
      <c r="E312" s="6">
        <v>1568.0</v>
      </c>
      <c r="F312" s="7">
        <v>1.0</v>
      </c>
      <c r="G312" s="8">
        <f t="shared" si="20"/>
        <v>1568</v>
      </c>
      <c r="H312" s="5"/>
      <c r="I312" s="5"/>
      <c r="J312" s="5"/>
      <c r="K312" s="9"/>
      <c r="L312" s="5"/>
    </row>
    <row r="313">
      <c r="A313" s="4" t="s">
        <v>442</v>
      </c>
      <c r="B313" s="5"/>
      <c r="C313" s="10" t="s">
        <v>443</v>
      </c>
      <c r="D313" s="4" t="s">
        <v>418</v>
      </c>
      <c r="E313" s="6">
        <v>1545.0</v>
      </c>
      <c r="F313" s="7">
        <v>1.0</v>
      </c>
      <c r="G313" s="8">
        <f t="shared" si="20"/>
        <v>1545</v>
      </c>
      <c r="H313" s="5"/>
      <c r="I313" s="5"/>
      <c r="J313" s="5"/>
      <c r="K313" s="9"/>
      <c r="L313" s="5"/>
    </row>
    <row r="314">
      <c r="A314" s="4" t="s">
        <v>444</v>
      </c>
      <c r="B314" s="5"/>
      <c r="C314" s="10" t="s">
        <v>441</v>
      </c>
      <c r="D314" s="4" t="s">
        <v>418</v>
      </c>
      <c r="E314" s="6">
        <v>1568.0</v>
      </c>
      <c r="F314" s="7">
        <v>1.0</v>
      </c>
      <c r="G314" s="8">
        <f t="shared" si="20"/>
        <v>1568</v>
      </c>
      <c r="H314" s="5"/>
      <c r="I314" s="5"/>
      <c r="J314" s="5"/>
      <c r="K314" s="9"/>
      <c r="L314" s="5"/>
    </row>
    <row r="315">
      <c r="A315" s="4" t="s">
        <v>445</v>
      </c>
      <c r="B315" s="5"/>
      <c r="C315" s="10" t="s">
        <v>446</v>
      </c>
      <c r="D315" s="4" t="s">
        <v>418</v>
      </c>
      <c r="E315" s="6">
        <v>4830.0</v>
      </c>
      <c r="F315" s="7">
        <v>1.0</v>
      </c>
      <c r="G315" s="8">
        <f t="shared" si="20"/>
        <v>4830</v>
      </c>
      <c r="H315" s="5"/>
      <c r="I315" s="5"/>
      <c r="J315" s="5"/>
      <c r="K315" s="9"/>
      <c r="L315" s="5"/>
    </row>
    <row r="316">
      <c r="A316" s="4" t="s">
        <v>447</v>
      </c>
      <c r="B316" s="5"/>
      <c r="C316" s="10" t="s">
        <v>446</v>
      </c>
      <c r="D316" s="4" t="s">
        <v>418</v>
      </c>
      <c r="E316" s="6">
        <v>4830.0</v>
      </c>
      <c r="F316" s="7">
        <v>1.0</v>
      </c>
      <c r="G316" s="8">
        <f t="shared" si="20"/>
        <v>4830</v>
      </c>
      <c r="H316" s="5"/>
      <c r="I316" s="5"/>
      <c r="J316" s="5"/>
      <c r="K316" s="9"/>
      <c r="L316" s="5"/>
    </row>
    <row r="317">
      <c r="A317" s="13" t="s">
        <v>448</v>
      </c>
      <c r="B317" s="5"/>
      <c r="C317" s="14" t="s">
        <v>449</v>
      </c>
      <c r="D317" s="4" t="s">
        <v>418</v>
      </c>
      <c r="E317" s="6">
        <v>1020.0</v>
      </c>
      <c r="F317" s="7">
        <v>1.0</v>
      </c>
      <c r="G317" s="8">
        <f t="shared" si="20"/>
        <v>1020</v>
      </c>
      <c r="H317" s="5"/>
      <c r="I317" s="5"/>
      <c r="J317" s="5"/>
      <c r="K317" s="9"/>
      <c r="L317" s="5"/>
    </row>
    <row r="318">
      <c r="A318" s="13" t="s">
        <v>450</v>
      </c>
      <c r="B318" s="5"/>
      <c r="C318" s="14" t="s">
        <v>451</v>
      </c>
      <c r="D318" s="4" t="s">
        <v>418</v>
      </c>
      <c r="E318" s="6">
        <v>1020.0</v>
      </c>
      <c r="F318" s="7">
        <v>1.0</v>
      </c>
      <c r="G318" s="8">
        <f t="shared" si="20"/>
        <v>1020</v>
      </c>
      <c r="H318" s="5"/>
      <c r="I318" s="5"/>
      <c r="J318" s="5"/>
      <c r="K318" s="9"/>
      <c r="L318" s="5"/>
    </row>
    <row r="319">
      <c r="A319" s="13" t="s">
        <v>452</v>
      </c>
      <c r="B319" s="5"/>
      <c r="C319" s="14" t="s">
        <v>453</v>
      </c>
      <c r="D319" s="4" t="s">
        <v>418</v>
      </c>
      <c r="E319" s="6">
        <v>1020.0</v>
      </c>
      <c r="F319" s="7">
        <v>1.0</v>
      </c>
      <c r="G319" s="8">
        <f t="shared" si="20"/>
        <v>1020</v>
      </c>
      <c r="H319" s="5"/>
      <c r="I319" s="5"/>
      <c r="J319" s="5"/>
      <c r="K319" s="9"/>
      <c r="L319" s="5"/>
    </row>
    <row r="320">
      <c r="A320" s="13" t="s">
        <v>454</v>
      </c>
      <c r="B320" s="5"/>
      <c r="C320" s="14" t="s">
        <v>455</v>
      </c>
      <c r="D320" s="4" t="s">
        <v>418</v>
      </c>
      <c r="E320" s="6">
        <v>1050.0</v>
      </c>
      <c r="F320" s="7">
        <v>1.0</v>
      </c>
      <c r="G320" s="8">
        <f t="shared" si="20"/>
        <v>1050</v>
      </c>
      <c r="H320" s="5"/>
      <c r="I320" s="5"/>
      <c r="J320" s="5"/>
      <c r="K320" s="9"/>
      <c r="L320" s="5"/>
    </row>
    <row r="321">
      <c r="A321" s="13" t="s">
        <v>456</v>
      </c>
      <c r="B321" s="5"/>
      <c r="C321" s="14">
        <v>1897.0</v>
      </c>
      <c r="D321" s="4" t="s">
        <v>418</v>
      </c>
      <c r="E321" s="6">
        <v>1050.0</v>
      </c>
      <c r="F321" s="7">
        <v>1.0</v>
      </c>
      <c r="G321" s="8">
        <f t="shared" si="20"/>
        <v>1050</v>
      </c>
      <c r="H321" s="5"/>
      <c r="I321" s="5"/>
      <c r="J321" s="5"/>
      <c r="K321" s="9"/>
      <c r="L321" s="5"/>
    </row>
    <row r="322">
      <c r="A322" s="13" t="s">
        <v>457</v>
      </c>
      <c r="B322" s="5"/>
      <c r="C322" s="14">
        <v>5479.0</v>
      </c>
      <c r="D322" s="4" t="s">
        <v>418</v>
      </c>
      <c r="E322" s="6">
        <v>1050.0</v>
      </c>
      <c r="F322" s="7">
        <v>1.0</v>
      </c>
      <c r="G322" s="8">
        <f t="shared" si="20"/>
        <v>1050</v>
      </c>
      <c r="H322" s="5"/>
      <c r="I322" s="5"/>
      <c r="J322" s="5"/>
      <c r="K322" s="9"/>
      <c r="L322" s="5"/>
    </row>
    <row r="323">
      <c r="A323" s="13" t="s">
        <v>458</v>
      </c>
      <c r="B323" s="5"/>
      <c r="C323" s="14" t="s">
        <v>459</v>
      </c>
      <c r="D323" s="4" t="s">
        <v>418</v>
      </c>
      <c r="E323" s="6">
        <v>1050.0</v>
      </c>
      <c r="F323" s="7">
        <v>1.0</v>
      </c>
      <c r="G323" s="8">
        <f t="shared" si="20"/>
        <v>1050</v>
      </c>
      <c r="H323" s="5"/>
      <c r="I323" s="5"/>
      <c r="J323" s="5"/>
      <c r="K323" s="9"/>
      <c r="L323" s="5"/>
    </row>
    <row r="324">
      <c r="A324" s="4" t="s">
        <v>460</v>
      </c>
      <c r="B324" s="5"/>
      <c r="C324" s="10">
        <v>20301.0</v>
      </c>
      <c r="D324" s="4" t="s">
        <v>418</v>
      </c>
      <c r="E324" s="6" t="e">
        <v>#REF!</v>
      </c>
      <c r="F324" s="7">
        <v>1.0</v>
      </c>
      <c r="G324" s="8" t="str">
        <f t="shared" si="20"/>
        <v>#REF!</v>
      </c>
      <c r="H324" s="5" t="s">
        <v>62</v>
      </c>
      <c r="I324" s="5" t="s">
        <v>26</v>
      </c>
      <c r="J324" s="5"/>
      <c r="K324" s="12" t="str">
        <f t="shared" ref="K324:K331" si="29">_xludf.IFS(H324="SI",J324/F324,H324="NO",1)</f>
        <v>#NAME?</v>
      </c>
      <c r="L324" s="5"/>
    </row>
    <row r="325">
      <c r="A325" s="4" t="s">
        <v>461</v>
      </c>
      <c r="B325" s="5"/>
      <c r="C325" s="10">
        <v>20300.0</v>
      </c>
      <c r="D325" s="4" t="s">
        <v>418</v>
      </c>
      <c r="E325" s="6" t="e">
        <v>#REF!</v>
      </c>
      <c r="F325" s="7">
        <v>1.0</v>
      </c>
      <c r="G325" s="8" t="str">
        <f t="shared" si="20"/>
        <v>#REF!</v>
      </c>
      <c r="H325" s="5" t="s">
        <v>25</v>
      </c>
      <c r="I325" s="5" t="s">
        <v>43</v>
      </c>
      <c r="J325" s="5"/>
      <c r="K325" s="12" t="str">
        <f t="shared" si="29"/>
        <v>#NAME?</v>
      </c>
      <c r="L325" s="5"/>
    </row>
    <row r="326">
      <c r="A326" s="4" t="s">
        <v>462</v>
      </c>
      <c r="B326" s="5"/>
      <c r="C326" s="10">
        <v>20308.0</v>
      </c>
      <c r="D326" s="4" t="s">
        <v>418</v>
      </c>
      <c r="E326" s="6">
        <v>860.0</v>
      </c>
      <c r="F326" s="7">
        <v>1.0</v>
      </c>
      <c r="G326" s="8">
        <f t="shared" si="20"/>
        <v>860</v>
      </c>
      <c r="H326" s="5" t="s">
        <v>62</v>
      </c>
      <c r="I326" s="5" t="s">
        <v>128</v>
      </c>
      <c r="J326" s="5"/>
      <c r="K326" s="12" t="str">
        <f t="shared" si="29"/>
        <v>#NAME?</v>
      </c>
      <c r="L326" s="5"/>
    </row>
    <row r="327">
      <c r="A327" s="4" t="s">
        <v>463</v>
      </c>
      <c r="B327" s="5"/>
      <c r="C327" s="10" t="s">
        <v>464</v>
      </c>
      <c r="D327" s="4" t="s">
        <v>418</v>
      </c>
      <c r="E327" s="6">
        <v>1524.6</v>
      </c>
      <c r="F327" s="7">
        <v>1.0</v>
      </c>
      <c r="G327" s="8">
        <f t="shared" si="20"/>
        <v>1524.6</v>
      </c>
      <c r="H327" s="5" t="s">
        <v>62</v>
      </c>
      <c r="I327" s="5" t="s">
        <v>128</v>
      </c>
      <c r="J327" s="5"/>
      <c r="K327" s="12" t="str">
        <f t="shared" si="29"/>
        <v>#NAME?</v>
      </c>
      <c r="L327" s="5"/>
    </row>
    <row r="328">
      <c r="A328" s="4" t="s">
        <v>465</v>
      </c>
      <c r="B328" s="5"/>
      <c r="C328" s="10">
        <v>20308.0</v>
      </c>
      <c r="D328" s="4" t="s">
        <v>418</v>
      </c>
      <c r="E328" s="6">
        <v>860.0</v>
      </c>
      <c r="F328" s="7">
        <v>1.0</v>
      </c>
      <c r="G328" s="8">
        <f t="shared" si="20"/>
        <v>860</v>
      </c>
      <c r="H328" s="5" t="s">
        <v>25</v>
      </c>
      <c r="I328" s="5" t="s">
        <v>43</v>
      </c>
      <c r="J328" s="5"/>
      <c r="K328" s="12" t="str">
        <f t="shared" si="29"/>
        <v>#NAME?</v>
      </c>
      <c r="L328" s="5"/>
    </row>
    <row r="329">
      <c r="A329" s="4" t="s">
        <v>466</v>
      </c>
      <c r="B329" s="5"/>
      <c r="C329" s="10">
        <v>20305.0</v>
      </c>
      <c r="D329" s="4" t="s">
        <v>418</v>
      </c>
      <c r="E329" s="6">
        <v>860.0</v>
      </c>
      <c r="F329" s="7">
        <v>1.0</v>
      </c>
      <c r="G329" s="8">
        <f t="shared" si="20"/>
        <v>860</v>
      </c>
      <c r="H329" s="5" t="s">
        <v>62</v>
      </c>
      <c r="I329" s="5" t="s">
        <v>128</v>
      </c>
      <c r="J329" s="5"/>
      <c r="K329" s="12" t="str">
        <f t="shared" si="29"/>
        <v>#NAME?</v>
      </c>
      <c r="L329" s="5"/>
    </row>
    <row r="330">
      <c r="A330" s="4" t="s">
        <v>467</v>
      </c>
      <c r="B330" s="5"/>
      <c r="C330" s="10">
        <v>20303.0</v>
      </c>
      <c r="D330" s="4" t="s">
        <v>418</v>
      </c>
      <c r="E330" s="6">
        <v>860.0</v>
      </c>
      <c r="F330" s="7">
        <v>1.0</v>
      </c>
      <c r="G330" s="8">
        <f t="shared" si="20"/>
        <v>860</v>
      </c>
      <c r="H330" s="5" t="s">
        <v>62</v>
      </c>
      <c r="I330" s="5" t="s">
        <v>26</v>
      </c>
      <c r="J330" s="5"/>
      <c r="K330" s="12" t="str">
        <f t="shared" si="29"/>
        <v>#NAME?</v>
      </c>
      <c r="L330" s="5"/>
    </row>
    <row r="331">
      <c r="A331" s="4" t="s">
        <v>468</v>
      </c>
      <c r="B331" s="5"/>
      <c r="C331" s="10">
        <v>20307.0</v>
      </c>
      <c r="D331" s="4" t="s">
        <v>418</v>
      </c>
      <c r="E331" s="6">
        <v>860.0</v>
      </c>
      <c r="F331" s="7">
        <v>1.0</v>
      </c>
      <c r="G331" s="8">
        <f t="shared" si="20"/>
        <v>860</v>
      </c>
      <c r="H331" s="5" t="s">
        <v>62</v>
      </c>
      <c r="I331" s="5" t="s">
        <v>43</v>
      </c>
      <c r="J331" s="5"/>
      <c r="K331" s="12" t="str">
        <f t="shared" si="29"/>
        <v>#NAME?</v>
      </c>
      <c r="L331" s="5"/>
    </row>
    <row r="332">
      <c r="A332" s="4" t="s">
        <v>469</v>
      </c>
      <c r="B332" s="5"/>
      <c r="C332" s="10">
        <v>20304.0</v>
      </c>
      <c r="D332" s="4" t="s">
        <v>418</v>
      </c>
      <c r="E332" s="6">
        <v>860.0</v>
      </c>
      <c r="F332" s="7">
        <v>1.0</v>
      </c>
      <c r="G332" s="8">
        <f t="shared" si="20"/>
        <v>860</v>
      </c>
      <c r="H332" s="5"/>
      <c r="I332" s="5"/>
      <c r="J332" s="5"/>
      <c r="K332" s="9"/>
      <c r="L332" s="5"/>
    </row>
    <row r="333">
      <c r="A333" s="4" t="s">
        <v>470</v>
      </c>
      <c r="B333" s="5"/>
      <c r="C333" s="10">
        <v>20306.0</v>
      </c>
      <c r="D333" s="4" t="s">
        <v>418</v>
      </c>
      <c r="E333" s="6">
        <v>860.0</v>
      </c>
      <c r="F333" s="7">
        <v>1.0</v>
      </c>
      <c r="G333" s="8">
        <f t="shared" si="20"/>
        <v>860</v>
      </c>
      <c r="H333" s="5" t="s">
        <v>62</v>
      </c>
      <c r="I333" s="5" t="s">
        <v>43</v>
      </c>
      <c r="J333" s="5"/>
      <c r="K333" s="12" t="str">
        <f t="shared" ref="K333:K337" si="30">_xludf.IFS(H333="SI",J333/F333,H333="NO",1)</f>
        <v>#NAME?</v>
      </c>
      <c r="L333" s="5"/>
    </row>
    <row r="334">
      <c r="A334" s="4" t="s">
        <v>471</v>
      </c>
      <c r="B334" s="5"/>
      <c r="C334" s="14" t="s">
        <v>472</v>
      </c>
      <c r="D334" s="4" t="s">
        <v>418</v>
      </c>
      <c r="E334" s="6">
        <v>2300.0</v>
      </c>
      <c r="F334" s="7">
        <v>1.0</v>
      </c>
      <c r="G334" s="8">
        <f t="shared" si="20"/>
        <v>2300</v>
      </c>
      <c r="H334" s="5"/>
      <c r="I334" s="5"/>
      <c r="J334" s="5"/>
      <c r="K334" s="12" t="str">
        <f t="shared" si="30"/>
        <v>#NAME?</v>
      </c>
      <c r="L334" s="5"/>
    </row>
    <row r="335">
      <c r="A335" s="13" t="s">
        <v>473</v>
      </c>
      <c r="B335" s="5"/>
      <c r="C335" s="14" t="s">
        <v>472</v>
      </c>
      <c r="D335" s="4" t="s">
        <v>418</v>
      </c>
      <c r="E335" s="6">
        <v>2300.0</v>
      </c>
      <c r="F335" s="7">
        <v>1.0</v>
      </c>
      <c r="G335" s="8">
        <f t="shared" si="20"/>
        <v>2300</v>
      </c>
      <c r="H335" s="5"/>
      <c r="I335" s="5"/>
      <c r="J335" s="5"/>
      <c r="K335" s="12" t="str">
        <f t="shared" si="30"/>
        <v>#NAME?</v>
      </c>
      <c r="L335" s="5"/>
    </row>
    <row r="336">
      <c r="A336" s="13" t="s">
        <v>474</v>
      </c>
      <c r="B336" s="5"/>
      <c r="C336" s="14" t="s">
        <v>475</v>
      </c>
      <c r="D336" s="4" t="s">
        <v>418</v>
      </c>
      <c r="E336" s="6">
        <v>2590.0</v>
      </c>
      <c r="F336" s="7">
        <v>1.0</v>
      </c>
      <c r="G336" s="8">
        <f t="shared" si="20"/>
        <v>2590</v>
      </c>
      <c r="H336" s="5"/>
      <c r="I336" s="5"/>
      <c r="J336" s="5"/>
      <c r="K336" s="12" t="str">
        <f t="shared" si="30"/>
        <v>#NAME?</v>
      </c>
      <c r="L336" s="5"/>
    </row>
    <row r="337">
      <c r="A337" s="13" t="s">
        <v>476</v>
      </c>
      <c r="B337" s="5"/>
      <c r="C337" s="14" t="s">
        <v>477</v>
      </c>
      <c r="D337" s="4" t="s">
        <v>418</v>
      </c>
      <c r="E337" s="6">
        <v>2590.0</v>
      </c>
      <c r="F337" s="7">
        <v>1.0</v>
      </c>
      <c r="G337" s="8">
        <f t="shared" si="20"/>
        <v>2590</v>
      </c>
      <c r="H337" s="5"/>
      <c r="I337" s="5"/>
      <c r="J337" s="5"/>
      <c r="K337" s="12" t="str">
        <f t="shared" si="30"/>
        <v>#NAME?</v>
      </c>
      <c r="L337" s="5"/>
    </row>
    <row r="338">
      <c r="A338" s="13" t="s">
        <v>478</v>
      </c>
      <c r="B338" s="5"/>
      <c r="C338" s="14" t="s">
        <v>479</v>
      </c>
      <c r="D338" s="4" t="s">
        <v>418</v>
      </c>
      <c r="E338" s="6">
        <v>2300.0</v>
      </c>
      <c r="F338" s="7">
        <v>1.0</v>
      </c>
      <c r="G338" s="8">
        <f t="shared" si="20"/>
        <v>2300</v>
      </c>
      <c r="H338" s="5"/>
      <c r="I338" s="5"/>
      <c r="J338" s="5"/>
      <c r="K338" s="9"/>
      <c r="L338" s="5"/>
    </row>
    <row r="339">
      <c r="A339" s="13" t="s">
        <v>480</v>
      </c>
      <c r="B339" s="5"/>
      <c r="C339" s="14" t="s">
        <v>481</v>
      </c>
      <c r="D339" s="4" t="s">
        <v>418</v>
      </c>
      <c r="E339" s="6">
        <v>2300.0</v>
      </c>
      <c r="F339" s="7">
        <v>1.0</v>
      </c>
      <c r="G339" s="8">
        <f t="shared" si="20"/>
        <v>2300</v>
      </c>
      <c r="H339" s="5"/>
      <c r="I339" s="5"/>
      <c r="J339" s="5"/>
      <c r="K339" s="9"/>
      <c r="L339" s="5"/>
    </row>
    <row r="340">
      <c r="A340" s="13" t="s">
        <v>482</v>
      </c>
      <c r="B340" s="5"/>
      <c r="C340" s="14">
        <v>102.0</v>
      </c>
      <c r="D340" s="4" t="s">
        <v>418</v>
      </c>
      <c r="E340" s="6">
        <v>1500.0</v>
      </c>
      <c r="F340" s="7">
        <v>1.0</v>
      </c>
      <c r="G340" s="8">
        <f t="shared" si="20"/>
        <v>1500</v>
      </c>
      <c r="H340" s="5"/>
      <c r="I340" s="5"/>
      <c r="J340" s="5"/>
      <c r="K340" s="9"/>
      <c r="L340" s="5"/>
    </row>
    <row r="341">
      <c r="A341" s="4" t="s">
        <v>483</v>
      </c>
      <c r="B341" s="5"/>
      <c r="C341" s="10">
        <v>538.0</v>
      </c>
      <c r="D341" s="4" t="s">
        <v>418</v>
      </c>
      <c r="E341" s="6">
        <v>7560.0</v>
      </c>
      <c r="F341" s="7">
        <v>10.0</v>
      </c>
      <c r="G341" s="8">
        <f t="shared" si="20"/>
        <v>756</v>
      </c>
      <c r="H341" s="5"/>
      <c r="I341" s="5"/>
      <c r="J341" s="5"/>
      <c r="K341" s="9"/>
      <c r="L341" s="11" t="s">
        <v>20</v>
      </c>
    </row>
    <row r="342">
      <c r="A342" s="13" t="s">
        <v>484</v>
      </c>
      <c r="B342" s="5"/>
      <c r="C342" s="14">
        <v>512.0</v>
      </c>
      <c r="D342" s="4" t="s">
        <v>418</v>
      </c>
      <c r="E342" s="6">
        <v>11340.0</v>
      </c>
      <c r="F342" s="7">
        <v>12.0</v>
      </c>
      <c r="G342" s="8">
        <f t="shared" si="20"/>
        <v>945</v>
      </c>
      <c r="H342" s="5"/>
      <c r="I342" s="5"/>
      <c r="J342" s="5"/>
      <c r="K342" s="12" t="str">
        <f t="shared" ref="K342:K343" si="31">_xludf.IFS(H342="SI",J342/F342,H342="NO",1)</f>
        <v>#NAME?</v>
      </c>
      <c r="L342" s="11" t="s">
        <v>20</v>
      </c>
    </row>
    <row r="343">
      <c r="A343" s="13" t="s">
        <v>485</v>
      </c>
      <c r="B343" s="5"/>
      <c r="C343" s="14" t="s">
        <v>486</v>
      </c>
      <c r="D343" s="4" t="s">
        <v>418</v>
      </c>
      <c r="E343" s="6">
        <v>2116.8</v>
      </c>
      <c r="F343" s="7">
        <v>1.0</v>
      </c>
      <c r="G343" s="8">
        <f t="shared" si="20"/>
        <v>2116.8</v>
      </c>
      <c r="H343" s="5"/>
      <c r="I343" s="5"/>
      <c r="J343" s="5"/>
      <c r="K343" s="12" t="str">
        <f t="shared" si="31"/>
        <v>#NAME?</v>
      </c>
      <c r="L343" s="5"/>
    </row>
    <row r="344">
      <c r="A344" s="4" t="s">
        <v>487</v>
      </c>
      <c r="B344" s="5"/>
      <c r="C344" s="10" t="s">
        <v>488</v>
      </c>
      <c r="D344" s="4" t="s">
        <v>418</v>
      </c>
      <c r="E344" s="6">
        <v>3240.0</v>
      </c>
      <c r="F344" s="7">
        <v>1.0</v>
      </c>
      <c r="G344" s="8">
        <f t="shared" si="20"/>
        <v>3240</v>
      </c>
      <c r="H344" s="5"/>
      <c r="I344" s="5"/>
      <c r="J344" s="5"/>
      <c r="K344" s="9"/>
      <c r="L344" s="5"/>
    </row>
    <row r="345">
      <c r="A345" s="4" t="s">
        <v>489</v>
      </c>
      <c r="B345" s="5"/>
      <c r="C345" s="10" t="s">
        <v>490</v>
      </c>
      <c r="D345" s="4" t="s">
        <v>418</v>
      </c>
      <c r="E345" s="6">
        <v>3812.0</v>
      </c>
      <c r="F345" s="7">
        <v>1.0</v>
      </c>
      <c r="G345" s="8">
        <f t="shared" si="20"/>
        <v>3812</v>
      </c>
      <c r="H345" s="5"/>
      <c r="I345" s="5"/>
      <c r="J345" s="5"/>
      <c r="K345" s="9"/>
      <c r="L345" s="5"/>
    </row>
    <row r="346">
      <c r="A346" s="4" t="s">
        <v>491</v>
      </c>
      <c r="B346" s="5"/>
      <c r="C346" s="10" t="s">
        <v>492</v>
      </c>
      <c r="D346" s="4" t="s">
        <v>418</v>
      </c>
      <c r="E346" s="6">
        <v>2499.0</v>
      </c>
      <c r="F346" s="7">
        <v>1.0</v>
      </c>
      <c r="G346" s="8">
        <f t="shared" si="20"/>
        <v>2499</v>
      </c>
      <c r="H346" s="5"/>
      <c r="I346" s="5"/>
      <c r="J346" s="5"/>
      <c r="K346" s="9"/>
      <c r="L346" s="5"/>
    </row>
    <row r="347">
      <c r="A347" s="4" t="s">
        <v>493</v>
      </c>
      <c r="B347" s="5"/>
      <c r="C347" s="10">
        <v>1930.0</v>
      </c>
      <c r="D347" s="4" t="s">
        <v>418</v>
      </c>
      <c r="E347" s="6">
        <v>3116.5</v>
      </c>
      <c r="F347" s="7">
        <v>1.0</v>
      </c>
      <c r="G347" s="8">
        <f t="shared" si="20"/>
        <v>3116.5</v>
      </c>
      <c r="H347" s="5"/>
      <c r="I347" s="5"/>
      <c r="J347" s="5"/>
      <c r="K347" s="9"/>
      <c r="L347" s="5"/>
    </row>
    <row r="348">
      <c r="A348" s="4" t="s">
        <v>494</v>
      </c>
      <c r="B348" s="5"/>
      <c r="C348" s="10" t="s">
        <v>495</v>
      </c>
      <c r="D348" s="4" t="s">
        <v>418</v>
      </c>
      <c r="E348" s="6">
        <v>3210.0</v>
      </c>
      <c r="F348" s="7">
        <v>1.0</v>
      </c>
      <c r="G348" s="8">
        <f t="shared" si="20"/>
        <v>3210</v>
      </c>
      <c r="H348" s="5"/>
      <c r="I348" s="5"/>
      <c r="J348" s="5"/>
      <c r="K348" s="9"/>
      <c r="L348" s="5"/>
    </row>
    <row r="349">
      <c r="A349" s="4" t="s">
        <v>496</v>
      </c>
      <c r="B349" s="5"/>
      <c r="C349" s="10" t="s">
        <v>497</v>
      </c>
      <c r="D349" s="4" t="s">
        <v>418</v>
      </c>
      <c r="E349" s="6">
        <v>1830.0</v>
      </c>
      <c r="F349" s="7">
        <v>1.0</v>
      </c>
      <c r="G349" s="8">
        <f t="shared" si="20"/>
        <v>1830</v>
      </c>
      <c r="H349" s="5"/>
      <c r="I349" s="5"/>
      <c r="J349" s="5"/>
      <c r="K349" s="9"/>
      <c r="L349" s="5"/>
    </row>
    <row r="350">
      <c r="A350" s="4" t="s">
        <v>498</v>
      </c>
      <c r="B350" s="5"/>
      <c r="C350" s="10" t="s">
        <v>499</v>
      </c>
      <c r="D350" s="4" t="s">
        <v>418</v>
      </c>
      <c r="E350" s="6">
        <v>4449.8</v>
      </c>
      <c r="F350" s="7">
        <v>1.0</v>
      </c>
      <c r="G350" s="8">
        <f t="shared" si="20"/>
        <v>4449.8</v>
      </c>
      <c r="H350" s="5"/>
      <c r="I350" s="5"/>
      <c r="J350" s="5"/>
      <c r="K350" s="9"/>
      <c r="L350" s="5"/>
    </row>
    <row r="351">
      <c r="A351" s="13" t="s">
        <v>500</v>
      </c>
      <c r="B351" s="5"/>
      <c r="C351" s="14">
        <v>101.0</v>
      </c>
      <c r="D351" s="4" t="s">
        <v>418</v>
      </c>
      <c r="E351" s="6">
        <v>1386.0</v>
      </c>
      <c r="F351" s="7">
        <v>1.0</v>
      </c>
      <c r="G351" s="8">
        <f t="shared" si="20"/>
        <v>1386</v>
      </c>
      <c r="H351" s="5"/>
      <c r="I351" s="5"/>
      <c r="J351" s="5"/>
      <c r="K351" s="12" t="str">
        <f t="shared" ref="K351:K352" si="32">_xludf.IFS(H351="SI",J351/F351,H351="NO",1)</f>
        <v>#NAME?</v>
      </c>
      <c r="L351" s="11" t="s">
        <v>20</v>
      </c>
    </row>
    <row r="352">
      <c r="A352" s="13" t="s">
        <v>501</v>
      </c>
      <c r="B352" s="5"/>
      <c r="C352" s="14">
        <v>10117.0</v>
      </c>
      <c r="D352" s="4" t="s">
        <v>418</v>
      </c>
      <c r="E352" s="6">
        <v>2770.0</v>
      </c>
      <c r="F352" s="7">
        <v>1.0</v>
      </c>
      <c r="G352" s="8">
        <f t="shared" si="20"/>
        <v>2770</v>
      </c>
      <c r="H352" s="5"/>
      <c r="I352" s="5"/>
      <c r="J352" s="5"/>
      <c r="K352" s="12" t="str">
        <f t="shared" si="32"/>
        <v>#NAME?</v>
      </c>
      <c r="L352" s="5"/>
    </row>
    <row r="353">
      <c r="A353" s="13" t="s">
        <v>502</v>
      </c>
      <c r="B353" s="5"/>
      <c r="C353" s="14">
        <v>10118.0</v>
      </c>
      <c r="D353" s="4" t="s">
        <v>418</v>
      </c>
      <c r="E353" s="6">
        <v>2770.0</v>
      </c>
      <c r="F353" s="7">
        <v>1.0</v>
      </c>
      <c r="G353" s="8">
        <f t="shared" si="20"/>
        <v>2770</v>
      </c>
      <c r="H353" s="5"/>
      <c r="I353" s="5"/>
      <c r="J353" s="5"/>
      <c r="K353" s="9"/>
      <c r="L353" s="5"/>
    </row>
    <row r="354">
      <c r="A354" s="13" t="s">
        <v>503</v>
      </c>
      <c r="B354" s="5"/>
      <c r="C354" s="14">
        <v>105.0</v>
      </c>
      <c r="D354" s="4" t="s">
        <v>418</v>
      </c>
      <c r="E354" s="6">
        <v>5098.5</v>
      </c>
      <c r="F354" s="7">
        <v>24.0</v>
      </c>
      <c r="G354" s="8">
        <f t="shared" si="20"/>
        <v>212.4375</v>
      </c>
      <c r="H354" s="5"/>
      <c r="I354" s="5"/>
      <c r="J354" s="5"/>
      <c r="K354" s="12" t="str">
        <f>_xludf.IFS(H354="SI",J354/F354,H354="NO",1)</f>
        <v>#NAME?</v>
      </c>
      <c r="L354" s="5"/>
    </row>
    <row r="355">
      <c r="A355" s="13" t="s">
        <v>504</v>
      </c>
      <c r="B355" s="5"/>
      <c r="C355" s="14" t="s">
        <v>505</v>
      </c>
      <c r="D355" s="4" t="s">
        <v>418</v>
      </c>
      <c r="E355" s="6">
        <v>2220.0</v>
      </c>
      <c r="F355" s="7">
        <v>1.0</v>
      </c>
      <c r="G355" s="8">
        <f t="shared" si="20"/>
        <v>2220</v>
      </c>
      <c r="H355" s="5"/>
      <c r="I355" s="5"/>
      <c r="J355" s="5"/>
      <c r="K355" s="9"/>
      <c r="L355" s="5"/>
    </row>
    <row r="356">
      <c r="A356" s="13" t="s">
        <v>506</v>
      </c>
      <c r="B356" s="5"/>
      <c r="C356" s="14" t="s">
        <v>507</v>
      </c>
      <c r="D356" s="4" t="s">
        <v>418</v>
      </c>
      <c r="E356" s="6">
        <v>2680.0</v>
      </c>
      <c r="F356" s="7">
        <v>1.0</v>
      </c>
      <c r="G356" s="8">
        <f t="shared" si="20"/>
        <v>2680</v>
      </c>
      <c r="H356" s="5"/>
      <c r="I356" s="5"/>
      <c r="J356" s="5"/>
      <c r="K356" s="9"/>
      <c r="L356" s="5"/>
    </row>
    <row r="357">
      <c r="A357" s="4" t="s">
        <v>508</v>
      </c>
      <c r="B357" s="5"/>
      <c r="C357" s="10">
        <v>12753.0</v>
      </c>
      <c r="D357" s="4" t="s">
        <v>418</v>
      </c>
      <c r="E357" s="6">
        <v>1304.9</v>
      </c>
      <c r="F357" s="7">
        <v>1.0</v>
      </c>
      <c r="G357" s="8">
        <f t="shared" si="20"/>
        <v>1304.9</v>
      </c>
      <c r="H357" s="5"/>
      <c r="I357" s="5"/>
      <c r="J357" s="5"/>
      <c r="K357" s="12" t="str">
        <f t="shared" ref="K357:K364" si="33">_xludf.IFS(H357="SI",J357/F357,H357="NO",1)</f>
        <v>#NAME?</v>
      </c>
      <c r="L357" s="5"/>
    </row>
    <row r="358">
      <c r="A358" s="4" t="s">
        <v>509</v>
      </c>
      <c r="B358" s="5"/>
      <c r="C358" s="10" t="s">
        <v>510</v>
      </c>
      <c r="D358" s="4" t="s">
        <v>418</v>
      </c>
      <c r="E358" s="6">
        <v>1304.9</v>
      </c>
      <c r="F358" s="7">
        <v>1.0</v>
      </c>
      <c r="G358" s="8">
        <f t="shared" si="20"/>
        <v>1304.9</v>
      </c>
      <c r="H358" s="5"/>
      <c r="I358" s="5"/>
      <c r="J358" s="5"/>
      <c r="K358" s="12" t="str">
        <f t="shared" si="33"/>
        <v>#NAME?</v>
      </c>
      <c r="L358" s="5"/>
    </row>
    <row r="359">
      <c r="A359" s="4" t="s">
        <v>511</v>
      </c>
      <c r="B359" s="5"/>
      <c r="C359" s="10">
        <v>406.0</v>
      </c>
      <c r="D359" s="4" t="s">
        <v>418</v>
      </c>
      <c r="E359" s="6">
        <v>725.0</v>
      </c>
      <c r="F359" s="7">
        <v>1.0</v>
      </c>
      <c r="G359" s="8">
        <f t="shared" si="20"/>
        <v>725</v>
      </c>
      <c r="H359" s="5" t="s">
        <v>25</v>
      </c>
      <c r="I359" s="5" t="s">
        <v>43</v>
      </c>
      <c r="J359" s="5"/>
      <c r="K359" s="12" t="str">
        <f t="shared" si="33"/>
        <v>#NAME?</v>
      </c>
      <c r="L359" s="5"/>
    </row>
    <row r="360">
      <c r="A360" s="4" t="s">
        <v>512</v>
      </c>
      <c r="B360" s="5"/>
      <c r="C360" s="14" t="s">
        <v>513</v>
      </c>
      <c r="D360" s="4" t="s">
        <v>418</v>
      </c>
      <c r="E360" s="6">
        <v>630.0</v>
      </c>
      <c r="F360" s="7">
        <v>1.0</v>
      </c>
      <c r="G360" s="8">
        <f t="shared" si="20"/>
        <v>630</v>
      </c>
      <c r="H360" s="5" t="s">
        <v>62</v>
      </c>
      <c r="I360" s="5" t="s">
        <v>43</v>
      </c>
      <c r="J360" s="5"/>
      <c r="K360" s="12" t="str">
        <f t="shared" si="33"/>
        <v>#NAME?</v>
      </c>
      <c r="L360" s="5"/>
    </row>
    <row r="361">
      <c r="A361" s="4" t="s">
        <v>514</v>
      </c>
      <c r="B361" s="5"/>
      <c r="C361" s="21" t="s">
        <v>515</v>
      </c>
      <c r="D361" s="4" t="s">
        <v>418</v>
      </c>
      <c r="E361" s="6">
        <v>882.0</v>
      </c>
      <c r="F361" s="7">
        <v>1.0</v>
      </c>
      <c r="G361" s="8">
        <f t="shared" si="20"/>
        <v>882</v>
      </c>
      <c r="H361" s="5" t="s">
        <v>62</v>
      </c>
      <c r="I361" s="5" t="s">
        <v>43</v>
      </c>
      <c r="J361" s="5"/>
      <c r="K361" s="12" t="str">
        <f t="shared" si="33"/>
        <v>#NAME?</v>
      </c>
      <c r="L361" s="5"/>
    </row>
    <row r="362">
      <c r="A362" s="5" t="s">
        <v>516</v>
      </c>
      <c r="B362" s="5"/>
      <c r="C362" s="17">
        <v>638.0</v>
      </c>
      <c r="D362" s="23" t="s">
        <v>418</v>
      </c>
      <c r="E362" s="6">
        <v>640.0</v>
      </c>
      <c r="F362" s="7">
        <v>1.0</v>
      </c>
      <c r="G362" s="8">
        <f t="shared" si="20"/>
        <v>640</v>
      </c>
      <c r="H362" s="5"/>
      <c r="I362" s="5"/>
      <c r="J362" s="5"/>
      <c r="K362" s="12" t="str">
        <f t="shared" si="33"/>
        <v>#NAME?</v>
      </c>
      <c r="L362" s="5"/>
    </row>
    <row r="363">
      <c r="A363" s="5" t="s">
        <v>517</v>
      </c>
      <c r="B363" s="5"/>
      <c r="C363" s="17">
        <v>1820.0</v>
      </c>
      <c r="D363" s="23" t="s">
        <v>418</v>
      </c>
      <c r="E363" s="6">
        <v>1520.0</v>
      </c>
      <c r="F363" s="7">
        <v>1.0</v>
      </c>
      <c r="G363" s="8">
        <f t="shared" si="20"/>
        <v>1520</v>
      </c>
      <c r="H363" s="5"/>
      <c r="I363" s="5"/>
      <c r="J363" s="5"/>
      <c r="K363" s="12" t="str">
        <f t="shared" si="33"/>
        <v>#NAME?</v>
      </c>
      <c r="L363" s="5"/>
    </row>
    <row r="364">
      <c r="A364" s="5" t="s">
        <v>518</v>
      </c>
      <c r="B364" s="5"/>
      <c r="C364" s="17">
        <v>1820.0</v>
      </c>
      <c r="D364" s="23" t="s">
        <v>418</v>
      </c>
      <c r="E364" s="6">
        <v>1520.0</v>
      </c>
      <c r="F364" s="7">
        <v>1.0</v>
      </c>
      <c r="G364" s="8">
        <f t="shared" si="20"/>
        <v>1520</v>
      </c>
      <c r="H364" s="5"/>
      <c r="I364" s="5"/>
      <c r="J364" s="5"/>
      <c r="K364" s="12" t="str">
        <f t="shared" si="33"/>
        <v>#NAME?</v>
      </c>
      <c r="L364" s="5"/>
    </row>
    <row r="365">
      <c r="A365" s="4" t="s">
        <v>519</v>
      </c>
      <c r="B365" s="5"/>
      <c r="C365" s="10">
        <v>1245.0</v>
      </c>
      <c r="D365" s="4" t="s">
        <v>520</v>
      </c>
      <c r="E365" s="6">
        <v>780.0</v>
      </c>
      <c r="F365" s="7">
        <v>1.0</v>
      </c>
      <c r="G365" s="8">
        <f t="shared" si="20"/>
        <v>780</v>
      </c>
      <c r="H365" s="5"/>
      <c r="I365" s="5"/>
      <c r="J365" s="5"/>
      <c r="K365" s="9"/>
      <c r="L365" s="5"/>
    </row>
    <row r="366">
      <c r="A366" s="13" t="s">
        <v>521</v>
      </c>
      <c r="B366" s="5"/>
      <c r="C366" s="14">
        <v>271.0</v>
      </c>
      <c r="D366" s="4" t="s">
        <v>520</v>
      </c>
      <c r="E366" s="6">
        <v>150.0</v>
      </c>
      <c r="F366" s="7">
        <v>1.0</v>
      </c>
      <c r="G366" s="8">
        <f t="shared" si="20"/>
        <v>150</v>
      </c>
      <c r="H366" s="5" t="s">
        <v>62</v>
      </c>
      <c r="I366" s="5" t="s">
        <v>43</v>
      </c>
      <c r="J366" s="5"/>
      <c r="K366" s="12" t="str">
        <f t="shared" ref="K366:K367" si="34">_xludf.IFS(H366="SI",J366/F366,H366="NO",1)</f>
        <v>#NAME?</v>
      </c>
      <c r="L366" s="5"/>
    </row>
    <row r="367">
      <c r="A367" s="4" t="s">
        <v>522</v>
      </c>
      <c r="B367" s="5"/>
      <c r="C367" s="4">
        <v>437.0</v>
      </c>
      <c r="D367" s="4" t="s">
        <v>520</v>
      </c>
      <c r="E367" s="6">
        <v>980.0</v>
      </c>
      <c r="F367" s="7">
        <v>1.0</v>
      </c>
      <c r="G367" s="8">
        <f t="shared" si="20"/>
        <v>980</v>
      </c>
      <c r="H367" s="5" t="s">
        <v>62</v>
      </c>
      <c r="I367" s="5" t="s">
        <v>43</v>
      </c>
      <c r="J367" s="5"/>
      <c r="K367" s="12" t="str">
        <f t="shared" si="34"/>
        <v>#NAME?</v>
      </c>
      <c r="L367" s="5"/>
    </row>
    <row r="368">
      <c r="A368" s="13" t="s">
        <v>523</v>
      </c>
      <c r="B368" s="5"/>
      <c r="C368" s="4">
        <v>437.0</v>
      </c>
      <c r="D368" s="4" t="s">
        <v>520</v>
      </c>
      <c r="E368" s="6">
        <v>980.0</v>
      </c>
      <c r="F368" s="7">
        <v>1.0</v>
      </c>
      <c r="G368" s="8">
        <f t="shared" si="20"/>
        <v>980</v>
      </c>
      <c r="H368" s="5"/>
      <c r="I368" s="5"/>
      <c r="J368" s="5"/>
      <c r="K368" s="9"/>
      <c r="L368" s="5"/>
    </row>
    <row r="369">
      <c r="A369" s="13" t="s">
        <v>524</v>
      </c>
      <c r="B369" s="5"/>
      <c r="C369" s="13">
        <v>431.0</v>
      </c>
      <c r="D369" s="4" t="s">
        <v>520</v>
      </c>
      <c r="E369" s="6">
        <v>980.0</v>
      </c>
      <c r="F369" s="7">
        <v>1.0</v>
      </c>
      <c r="G369" s="8">
        <f t="shared" si="20"/>
        <v>980</v>
      </c>
      <c r="H369" s="5"/>
      <c r="I369" s="5"/>
      <c r="J369" s="5"/>
      <c r="K369" s="9"/>
      <c r="L369" s="5"/>
    </row>
    <row r="370">
      <c r="A370" s="13" t="s">
        <v>525</v>
      </c>
      <c r="B370" s="5"/>
      <c r="C370" s="13">
        <v>470.0</v>
      </c>
      <c r="D370" s="4" t="s">
        <v>520</v>
      </c>
      <c r="E370" s="6">
        <v>980.0</v>
      </c>
      <c r="F370" s="7">
        <v>1.0</v>
      </c>
      <c r="G370" s="8">
        <f t="shared" si="20"/>
        <v>980</v>
      </c>
      <c r="H370" s="5" t="s">
        <v>62</v>
      </c>
      <c r="I370" s="5" t="s">
        <v>43</v>
      </c>
      <c r="J370" s="5"/>
      <c r="K370" s="12" t="str">
        <f t="shared" ref="K370:K371" si="35">_xludf.IFS(H370="SI",J370/F370,H370="NO",1)</f>
        <v>#NAME?</v>
      </c>
      <c r="L370" s="5"/>
    </row>
    <row r="371">
      <c r="A371" s="13" t="s">
        <v>526</v>
      </c>
      <c r="B371" s="5"/>
      <c r="C371" s="13">
        <v>471.0</v>
      </c>
      <c r="D371" s="4" t="s">
        <v>520</v>
      </c>
      <c r="E371" s="6">
        <v>980.0</v>
      </c>
      <c r="F371" s="7">
        <v>1.0</v>
      </c>
      <c r="G371" s="8">
        <f t="shared" si="20"/>
        <v>980</v>
      </c>
      <c r="H371" s="5" t="s">
        <v>62</v>
      </c>
      <c r="I371" s="5" t="s">
        <v>43</v>
      </c>
      <c r="J371" s="5"/>
      <c r="K371" s="12" t="str">
        <f t="shared" si="35"/>
        <v>#NAME?</v>
      </c>
      <c r="L371" s="5"/>
    </row>
    <row r="372">
      <c r="A372" s="13" t="s">
        <v>527</v>
      </c>
      <c r="B372" s="5"/>
      <c r="C372" s="13">
        <v>432.0</v>
      </c>
      <c r="D372" s="4" t="s">
        <v>520</v>
      </c>
      <c r="E372" s="6">
        <v>980.0</v>
      </c>
      <c r="F372" s="7">
        <v>1.0</v>
      </c>
      <c r="G372" s="8">
        <f t="shared" si="20"/>
        <v>980</v>
      </c>
      <c r="H372" s="5"/>
      <c r="I372" s="5"/>
      <c r="J372" s="5"/>
      <c r="K372" s="9"/>
      <c r="L372" s="5"/>
    </row>
    <row r="373">
      <c r="A373" s="13" t="s">
        <v>528</v>
      </c>
      <c r="B373" s="5"/>
      <c r="C373" s="13">
        <v>437.0</v>
      </c>
      <c r="D373" s="4" t="s">
        <v>520</v>
      </c>
      <c r="E373" s="6">
        <v>980.0</v>
      </c>
      <c r="F373" s="7">
        <v>1.0</v>
      </c>
      <c r="G373" s="8">
        <f t="shared" si="20"/>
        <v>980</v>
      </c>
      <c r="H373" s="5"/>
      <c r="I373" s="5"/>
      <c r="J373" s="5"/>
      <c r="K373" s="9"/>
      <c r="L373" s="5"/>
    </row>
    <row r="374">
      <c r="A374" s="13" t="s">
        <v>529</v>
      </c>
      <c r="B374" s="5"/>
      <c r="C374" s="13">
        <v>489.0</v>
      </c>
      <c r="D374" s="4" t="s">
        <v>520</v>
      </c>
      <c r="E374" s="6">
        <v>980.0</v>
      </c>
      <c r="F374" s="7">
        <v>1.0</v>
      </c>
      <c r="G374" s="8">
        <f t="shared" si="20"/>
        <v>980</v>
      </c>
      <c r="H374" s="5"/>
      <c r="I374" s="5"/>
      <c r="J374" s="5"/>
      <c r="K374" s="9"/>
      <c r="L374" s="5"/>
    </row>
    <row r="375">
      <c r="A375" s="13" t="s">
        <v>530</v>
      </c>
      <c r="B375" s="5"/>
      <c r="C375" s="13">
        <v>472.0</v>
      </c>
      <c r="D375" s="4" t="s">
        <v>520</v>
      </c>
      <c r="E375" s="6">
        <v>980.0</v>
      </c>
      <c r="F375" s="7">
        <v>1.0</v>
      </c>
      <c r="G375" s="8">
        <f t="shared" si="20"/>
        <v>980</v>
      </c>
      <c r="H375" s="5"/>
      <c r="I375" s="5"/>
      <c r="J375" s="5"/>
      <c r="K375" s="12" t="str">
        <f t="shared" ref="K375:K376" si="36">_xludf.IFS(H375="SI",J375/F375,H375="NO",1)</f>
        <v>#NAME?</v>
      </c>
      <c r="L375" s="5"/>
    </row>
    <row r="376">
      <c r="A376" s="13" t="s">
        <v>531</v>
      </c>
      <c r="B376" s="5"/>
      <c r="C376" s="13">
        <v>468.0</v>
      </c>
      <c r="D376" s="4" t="s">
        <v>520</v>
      </c>
      <c r="E376" s="6">
        <v>980.0</v>
      </c>
      <c r="F376" s="7">
        <v>1.0</v>
      </c>
      <c r="G376" s="8">
        <f t="shared" si="20"/>
        <v>980</v>
      </c>
      <c r="H376" s="5"/>
      <c r="I376" s="5"/>
      <c r="J376" s="5"/>
      <c r="K376" s="12" t="str">
        <f t="shared" si="36"/>
        <v>#NAME?</v>
      </c>
      <c r="L376" s="5"/>
    </row>
    <row r="377">
      <c r="A377" s="21" t="s">
        <v>532</v>
      </c>
      <c r="B377" s="5"/>
      <c r="C377" s="4">
        <v>1243.0</v>
      </c>
      <c r="D377" s="4" t="s">
        <v>520</v>
      </c>
      <c r="E377" s="6">
        <v>1668.0</v>
      </c>
      <c r="F377" s="7">
        <v>6.0</v>
      </c>
      <c r="G377" s="8">
        <f t="shared" si="20"/>
        <v>278</v>
      </c>
      <c r="H377" s="5"/>
      <c r="I377" s="5"/>
      <c r="J377" s="5"/>
      <c r="K377" s="9"/>
      <c r="L377" s="5"/>
    </row>
    <row r="378">
      <c r="A378" s="21" t="s">
        <v>533</v>
      </c>
      <c r="B378" s="5"/>
      <c r="C378" s="4">
        <v>1244.0</v>
      </c>
      <c r="D378" s="4" t="s">
        <v>520</v>
      </c>
      <c r="E378" s="6">
        <v>3520.44</v>
      </c>
      <c r="F378" s="7">
        <v>6.0</v>
      </c>
      <c r="G378" s="8">
        <f t="shared" si="20"/>
        <v>586.74</v>
      </c>
      <c r="H378" s="5"/>
      <c r="I378" s="5"/>
      <c r="J378" s="5"/>
      <c r="K378" s="9"/>
      <c r="L378" s="5"/>
    </row>
    <row r="379">
      <c r="A379" s="21" t="s">
        <v>534</v>
      </c>
      <c r="B379" s="5"/>
      <c r="C379" s="4" t="s">
        <v>535</v>
      </c>
      <c r="D379" s="4" t="s">
        <v>520</v>
      </c>
      <c r="E379" s="6">
        <v>710.0</v>
      </c>
      <c r="F379" s="7">
        <v>1.0</v>
      </c>
      <c r="G379" s="8">
        <f t="shared" si="20"/>
        <v>710</v>
      </c>
      <c r="H379" s="5"/>
      <c r="I379" s="5"/>
      <c r="J379" s="5"/>
      <c r="K379" s="12" t="str">
        <f t="shared" ref="K379:K380" si="37">_xludf.IFS(H379="SI",J379/F379,H379="NO",1)</f>
        <v>#NAME?</v>
      </c>
      <c r="L379" s="5"/>
    </row>
    <row r="380">
      <c r="A380" s="21" t="s">
        <v>536</v>
      </c>
      <c r="B380" s="5"/>
      <c r="C380" s="4" t="s">
        <v>537</v>
      </c>
      <c r="D380" s="4" t="s">
        <v>520</v>
      </c>
      <c r="E380" s="6">
        <v>710.0</v>
      </c>
      <c r="F380" s="7">
        <v>1.0</v>
      </c>
      <c r="G380" s="8">
        <f t="shared" si="20"/>
        <v>710</v>
      </c>
      <c r="H380" s="5"/>
      <c r="I380" s="5"/>
      <c r="J380" s="5"/>
      <c r="K380" s="12" t="str">
        <f t="shared" si="37"/>
        <v>#NAME?</v>
      </c>
      <c r="L380" s="5"/>
    </row>
    <row r="381">
      <c r="A381" s="4" t="s">
        <v>538</v>
      </c>
      <c r="B381" s="5"/>
      <c r="C381" s="4" t="s">
        <v>539</v>
      </c>
      <c r="D381" s="4" t="s">
        <v>520</v>
      </c>
      <c r="E381" s="6">
        <v>1750.0</v>
      </c>
      <c r="F381" s="7">
        <v>1.0</v>
      </c>
      <c r="G381" s="8">
        <f t="shared" si="20"/>
        <v>1750</v>
      </c>
      <c r="H381" s="5"/>
      <c r="I381" s="5"/>
      <c r="J381" s="5"/>
      <c r="K381" s="9"/>
      <c r="L381" s="5"/>
    </row>
    <row r="382">
      <c r="A382" s="4" t="s">
        <v>540</v>
      </c>
      <c r="B382" s="5"/>
      <c r="C382" s="4" t="s">
        <v>541</v>
      </c>
      <c r="D382" s="4" t="s">
        <v>520</v>
      </c>
      <c r="E382" s="6">
        <v>2688.0</v>
      </c>
      <c r="F382" s="7">
        <v>1.0</v>
      </c>
      <c r="G382" s="8">
        <f t="shared" si="20"/>
        <v>2688</v>
      </c>
      <c r="H382" s="5"/>
      <c r="I382" s="5"/>
      <c r="J382" s="5"/>
      <c r="K382" s="9"/>
      <c r="L382" s="5"/>
    </row>
    <row r="383">
      <c r="A383" s="4" t="s">
        <v>542</v>
      </c>
      <c r="B383" s="5"/>
      <c r="C383" s="4">
        <v>12300.0</v>
      </c>
      <c r="D383" s="4" t="s">
        <v>520</v>
      </c>
      <c r="E383" s="6">
        <v>1482.0</v>
      </c>
      <c r="F383" s="7">
        <v>1.0</v>
      </c>
      <c r="G383" s="8">
        <f t="shared" si="20"/>
        <v>1482</v>
      </c>
      <c r="H383" s="5"/>
      <c r="I383" s="5"/>
      <c r="J383" s="5"/>
      <c r="K383" s="12" t="str">
        <f t="shared" ref="K383:K386" si="38">_xludf.IFS(H383="SI",J383/F383,H383="NO",1)</f>
        <v>#NAME?</v>
      </c>
      <c r="L383" s="5"/>
    </row>
    <row r="384">
      <c r="A384" s="4" t="s">
        <v>543</v>
      </c>
      <c r="B384" s="5"/>
      <c r="C384" s="4" t="s">
        <v>544</v>
      </c>
      <c r="D384" s="4" t="s">
        <v>520</v>
      </c>
      <c r="E384" s="6">
        <v>3870.0</v>
      </c>
      <c r="F384" s="7">
        <v>12.0</v>
      </c>
      <c r="G384" s="8">
        <f t="shared" si="20"/>
        <v>322.5</v>
      </c>
      <c r="H384" s="5"/>
      <c r="I384" s="5"/>
      <c r="J384" s="5"/>
      <c r="K384" s="12" t="str">
        <f t="shared" si="38"/>
        <v>#NAME?</v>
      </c>
      <c r="L384" s="11" t="s">
        <v>20</v>
      </c>
    </row>
    <row r="385">
      <c r="A385" s="4" t="s">
        <v>545</v>
      </c>
      <c r="B385" s="5"/>
      <c r="C385" s="13" t="s">
        <v>546</v>
      </c>
      <c r="D385" s="4" t="s">
        <v>520</v>
      </c>
      <c r="E385" s="6">
        <v>12800.0</v>
      </c>
      <c r="F385" s="7">
        <v>12.0</v>
      </c>
      <c r="G385" s="8">
        <f t="shared" si="20"/>
        <v>1066.666667</v>
      </c>
      <c r="H385" s="5"/>
      <c r="I385" s="5"/>
      <c r="J385" s="5"/>
      <c r="K385" s="12" t="str">
        <f t="shared" si="38"/>
        <v>#NAME?</v>
      </c>
      <c r="L385" s="11" t="s">
        <v>20</v>
      </c>
    </row>
    <row r="386">
      <c r="A386" s="4" t="s">
        <v>547</v>
      </c>
      <c r="B386" s="5"/>
      <c r="C386" s="13" t="s">
        <v>548</v>
      </c>
      <c r="D386" s="4" t="s">
        <v>520</v>
      </c>
      <c r="E386" s="6">
        <v>12800.0</v>
      </c>
      <c r="F386" s="7">
        <v>12.0</v>
      </c>
      <c r="G386" s="8">
        <f t="shared" si="20"/>
        <v>1066.666667</v>
      </c>
      <c r="H386" s="5"/>
      <c r="I386" s="5"/>
      <c r="J386" s="5"/>
      <c r="K386" s="12" t="str">
        <f t="shared" si="38"/>
        <v>#NAME?</v>
      </c>
      <c r="L386" s="11" t="s">
        <v>20</v>
      </c>
    </row>
    <row r="387">
      <c r="A387" s="4" t="s">
        <v>549</v>
      </c>
      <c r="B387" s="5"/>
      <c r="C387" s="10" t="s">
        <v>550</v>
      </c>
      <c r="D387" s="4" t="s">
        <v>520</v>
      </c>
      <c r="E387" s="6">
        <v>3510.0</v>
      </c>
      <c r="F387" s="7">
        <v>10.0</v>
      </c>
      <c r="G387" s="8">
        <f t="shared" si="20"/>
        <v>351</v>
      </c>
      <c r="H387" s="5"/>
      <c r="I387" s="5"/>
      <c r="J387" s="5"/>
      <c r="K387" s="9"/>
      <c r="L387" s="11" t="s">
        <v>20</v>
      </c>
    </row>
    <row r="388">
      <c r="A388" s="4" t="s">
        <v>551</v>
      </c>
      <c r="B388" s="5"/>
      <c r="C388" s="10" t="s">
        <v>552</v>
      </c>
      <c r="D388" s="4" t="s">
        <v>520</v>
      </c>
      <c r="E388" s="6">
        <v>3510.0</v>
      </c>
      <c r="F388" s="7">
        <v>10.0</v>
      </c>
      <c r="G388" s="8">
        <f t="shared" si="20"/>
        <v>351</v>
      </c>
      <c r="H388" s="5"/>
      <c r="I388" s="5"/>
      <c r="J388" s="5"/>
      <c r="K388" s="9"/>
      <c r="L388" s="11" t="s">
        <v>20</v>
      </c>
    </row>
    <row r="389">
      <c r="A389" s="4" t="s">
        <v>553</v>
      </c>
      <c r="B389" s="5"/>
      <c r="C389" s="10">
        <v>1001.0</v>
      </c>
      <c r="D389" s="4" t="s">
        <v>554</v>
      </c>
      <c r="E389" s="6">
        <v>5375.0</v>
      </c>
      <c r="F389" s="7">
        <v>25.0</v>
      </c>
      <c r="G389" s="8">
        <f t="shared" si="20"/>
        <v>215</v>
      </c>
      <c r="H389" s="5"/>
      <c r="I389" s="5"/>
      <c r="J389" s="5"/>
      <c r="K389" s="12" t="str">
        <f t="shared" ref="K389:K390" si="39">_xludf.IFS(H389="SI",J389/F389,H389="NO",1)</f>
        <v>#NAME?</v>
      </c>
      <c r="L389" s="11" t="s">
        <v>20</v>
      </c>
    </row>
    <row r="390">
      <c r="A390" s="4" t="s">
        <v>555</v>
      </c>
      <c r="B390" s="5"/>
      <c r="C390" s="14">
        <v>230.0</v>
      </c>
      <c r="D390" s="4" t="s">
        <v>554</v>
      </c>
      <c r="E390" s="6">
        <v>5400.0</v>
      </c>
      <c r="F390" s="7">
        <v>25.0</v>
      </c>
      <c r="G390" s="8">
        <f t="shared" si="20"/>
        <v>216</v>
      </c>
      <c r="H390" s="5"/>
      <c r="I390" s="5"/>
      <c r="J390" s="5"/>
      <c r="K390" s="12" t="str">
        <f t="shared" si="39"/>
        <v>#NAME?</v>
      </c>
      <c r="L390" s="11" t="s">
        <v>20</v>
      </c>
    </row>
    <row r="391">
      <c r="A391" s="4" t="s">
        <v>556</v>
      </c>
      <c r="B391" s="5"/>
      <c r="C391" s="10" t="s">
        <v>557</v>
      </c>
      <c r="D391" s="4" t="s">
        <v>554</v>
      </c>
      <c r="E391" s="6">
        <v>4670.0</v>
      </c>
      <c r="F391" s="7">
        <v>10.0</v>
      </c>
      <c r="G391" s="8">
        <f t="shared" si="20"/>
        <v>467</v>
      </c>
      <c r="H391" s="5"/>
      <c r="I391" s="5"/>
      <c r="J391" s="5"/>
      <c r="K391" s="9"/>
      <c r="L391" s="11" t="s">
        <v>20</v>
      </c>
    </row>
    <row r="392">
      <c r="A392" s="4" t="s">
        <v>558</v>
      </c>
      <c r="B392" s="5"/>
      <c r="C392" s="10" t="s">
        <v>559</v>
      </c>
      <c r="D392" s="4" t="s">
        <v>554</v>
      </c>
      <c r="E392" s="6">
        <v>5140.0</v>
      </c>
      <c r="F392" s="7">
        <v>10.0</v>
      </c>
      <c r="G392" s="8">
        <f t="shared" si="20"/>
        <v>514</v>
      </c>
      <c r="H392" s="5"/>
      <c r="I392" s="5"/>
      <c r="J392" s="5"/>
      <c r="K392" s="9"/>
      <c r="L392" s="11" t="s">
        <v>20</v>
      </c>
    </row>
    <row r="393">
      <c r="A393" s="4" t="s">
        <v>560</v>
      </c>
      <c r="B393" s="5"/>
      <c r="C393" s="10">
        <v>1240.0</v>
      </c>
      <c r="D393" s="4" t="s">
        <v>554</v>
      </c>
      <c r="E393" s="6">
        <v>2080.0</v>
      </c>
      <c r="F393" s="7">
        <v>1.0</v>
      </c>
      <c r="G393" s="8">
        <f t="shared" si="20"/>
        <v>2080</v>
      </c>
      <c r="H393" s="5"/>
      <c r="I393" s="5"/>
      <c r="J393" s="5"/>
      <c r="K393" s="9"/>
      <c r="L393" s="5"/>
    </row>
    <row r="394">
      <c r="A394" s="4" t="s">
        <v>561</v>
      </c>
      <c r="B394" s="5"/>
      <c r="C394" s="10">
        <v>1241.0</v>
      </c>
      <c r="D394" s="4" t="s">
        <v>554</v>
      </c>
      <c r="E394" s="6">
        <v>2890.0</v>
      </c>
      <c r="F394" s="7">
        <v>1.0</v>
      </c>
      <c r="G394" s="8">
        <f t="shared" si="20"/>
        <v>2890</v>
      </c>
      <c r="H394" s="5"/>
      <c r="I394" s="5"/>
      <c r="J394" s="5"/>
      <c r="K394" s="9"/>
      <c r="L394" s="5"/>
    </row>
    <row r="395">
      <c r="A395" s="4" t="s">
        <v>562</v>
      </c>
      <c r="B395" s="5"/>
      <c r="C395" s="10">
        <v>1242.0</v>
      </c>
      <c r="D395" s="4" t="s">
        <v>554</v>
      </c>
      <c r="E395" s="6">
        <v>10590.0</v>
      </c>
      <c r="F395" s="7">
        <v>12.0</v>
      </c>
      <c r="G395" s="8">
        <f t="shared" si="20"/>
        <v>882.5</v>
      </c>
      <c r="H395" s="5"/>
      <c r="I395" s="5"/>
      <c r="J395" s="5"/>
      <c r="K395" s="9"/>
      <c r="L395" s="5"/>
    </row>
    <row r="396">
      <c r="A396" s="13" t="s">
        <v>563</v>
      </c>
      <c r="B396" s="5"/>
      <c r="C396" s="14">
        <v>1551.0</v>
      </c>
      <c r="D396" s="4" t="s">
        <v>564</v>
      </c>
      <c r="E396" s="6">
        <v>1146.6</v>
      </c>
      <c r="F396" s="7">
        <v>1.0</v>
      </c>
      <c r="G396" s="8">
        <f t="shared" si="20"/>
        <v>1146.6</v>
      </c>
      <c r="H396" s="5"/>
      <c r="I396" s="5"/>
      <c r="J396" s="5"/>
      <c r="K396" s="12" t="str">
        <f t="shared" ref="K396:K404" si="40">_xludf.IFS(H396="SI",J396/F396,H396="NO",1)</f>
        <v>#NAME?</v>
      </c>
      <c r="L396" s="5"/>
    </row>
    <row r="397">
      <c r="A397" s="13" t="s">
        <v>565</v>
      </c>
      <c r="B397" s="5"/>
      <c r="C397" s="14">
        <v>1552.0</v>
      </c>
      <c r="D397" s="4" t="s">
        <v>564</v>
      </c>
      <c r="E397" s="6">
        <v>1390.0</v>
      </c>
      <c r="F397" s="7">
        <v>1.0</v>
      </c>
      <c r="G397" s="8">
        <f t="shared" si="20"/>
        <v>1390</v>
      </c>
      <c r="H397" s="5"/>
      <c r="I397" s="5"/>
      <c r="J397" s="5"/>
      <c r="K397" s="12" t="str">
        <f t="shared" si="40"/>
        <v>#NAME?</v>
      </c>
      <c r="L397" s="5"/>
    </row>
    <row r="398">
      <c r="A398" s="13" t="s">
        <v>566</v>
      </c>
      <c r="B398" s="5"/>
      <c r="C398" s="14">
        <v>1553.0</v>
      </c>
      <c r="D398" s="4" t="s">
        <v>564</v>
      </c>
      <c r="E398" s="6">
        <v>3520.0</v>
      </c>
      <c r="F398" s="7">
        <v>1.0</v>
      </c>
      <c r="G398" s="8">
        <f t="shared" si="20"/>
        <v>3520</v>
      </c>
      <c r="H398" s="5"/>
      <c r="I398" s="5"/>
      <c r="J398" s="5"/>
      <c r="K398" s="12" t="str">
        <f t="shared" si="40"/>
        <v>#NAME?</v>
      </c>
      <c r="L398" s="5"/>
    </row>
    <row r="399">
      <c r="A399" s="13" t="s">
        <v>567</v>
      </c>
      <c r="B399" s="5"/>
      <c r="C399" s="14">
        <v>1554.0</v>
      </c>
      <c r="D399" s="4" t="s">
        <v>564</v>
      </c>
      <c r="E399" s="6">
        <v>4296.6</v>
      </c>
      <c r="F399" s="7">
        <v>1.0</v>
      </c>
      <c r="G399" s="8">
        <f t="shared" si="20"/>
        <v>4296.6</v>
      </c>
      <c r="H399" s="5"/>
      <c r="I399" s="5"/>
      <c r="J399" s="5"/>
      <c r="K399" s="12" t="str">
        <f t="shared" si="40"/>
        <v>#NAME?</v>
      </c>
      <c r="L399" s="5"/>
    </row>
    <row r="400">
      <c r="A400" s="13" t="s">
        <v>568</v>
      </c>
      <c r="B400" s="5"/>
      <c r="C400" s="14">
        <v>1556.0</v>
      </c>
      <c r="D400" s="4" t="s">
        <v>564</v>
      </c>
      <c r="E400" s="6">
        <v>7114.0</v>
      </c>
      <c r="F400" s="7">
        <v>1.0</v>
      </c>
      <c r="G400" s="8">
        <f t="shared" si="20"/>
        <v>7114</v>
      </c>
      <c r="H400" s="5"/>
      <c r="I400" s="5"/>
      <c r="J400" s="5"/>
      <c r="K400" s="12" t="str">
        <f t="shared" si="40"/>
        <v>#NAME?</v>
      </c>
      <c r="L400" s="5"/>
    </row>
    <row r="401">
      <c r="A401" s="13" t="s">
        <v>569</v>
      </c>
      <c r="B401" s="5"/>
      <c r="C401" s="14">
        <v>1557.0</v>
      </c>
      <c r="D401" s="4" t="s">
        <v>564</v>
      </c>
      <c r="E401" s="6">
        <v>9140.0</v>
      </c>
      <c r="F401" s="7">
        <v>1.0</v>
      </c>
      <c r="G401" s="8">
        <f t="shared" si="20"/>
        <v>9140</v>
      </c>
      <c r="H401" s="5"/>
      <c r="I401" s="5"/>
      <c r="J401" s="5"/>
      <c r="K401" s="12" t="str">
        <f t="shared" si="40"/>
        <v>#NAME?</v>
      </c>
      <c r="L401" s="5"/>
    </row>
    <row r="402">
      <c r="A402" s="13" t="s">
        <v>570</v>
      </c>
      <c r="B402" s="5"/>
      <c r="C402" s="14">
        <v>1558.0</v>
      </c>
      <c r="D402" s="4" t="s">
        <v>564</v>
      </c>
      <c r="E402" s="6">
        <v>11990.0</v>
      </c>
      <c r="F402" s="7">
        <v>1.0</v>
      </c>
      <c r="G402" s="8">
        <f t="shared" si="20"/>
        <v>11990</v>
      </c>
      <c r="H402" s="5"/>
      <c r="I402" s="5"/>
      <c r="J402" s="5"/>
      <c r="K402" s="12" t="str">
        <f t="shared" si="40"/>
        <v>#NAME?</v>
      </c>
      <c r="L402" s="5"/>
    </row>
    <row r="403">
      <c r="A403" s="5" t="s">
        <v>571</v>
      </c>
      <c r="B403" s="5"/>
      <c r="C403" s="17">
        <v>1815.0</v>
      </c>
      <c r="D403" s="4" t="s">
        <v>572</v>
      </c>
      <c r="E403" s="6">
        <v>13120.0</v>
      </c>
      <c r="F403" s="7">
        <v>6.0</v>
      </c>
      <c r="G403" s="8">
        <f t="shared" si="20"/>
        <v>2186.666667</v>
      </c>
      <c r="H403" s="5"/>
      <c r="I403" s="5"/>
      <c r="J403" s="5"/>
      <c r="K403" s="12" t="str">
        <f t="shared" si="40"/>
        <v>#NAME?</v>
      </c>
      <c r="L403" s="11" t="s">
        <v>20</v>
      </c>
    </row>
    <row r="404">
      <c r="A404" s="5" t="s">
        <v>573</v>
      </c>
      <c r="B404" s="5"/>
      <c r="C404" s="17">
        <v>120.0</v>
      </c>
      <c r="D404" s="4" t="s">
        <v>572</v>
      </c>
      <c r="E404" s="6">
        <v>11390.0</v>
      </c>
      <c r="F404" s="7">
        <v>6.0</v>
      </c>
      <c r="G404" s="8">
        <f t="shared" si="20"/>
        <v>1898.333333</v>
      </c>
      <c r="H404" s="5"/>
      <c r="I404" s="5"/>
      <c r="J404" s="5"/>
      <c r="K404" s="12" t="str">
        <f t="shared" si="40"/>
        <v>#NAME?</v>
      </c>
      <c r="L404" s="11" t="s">
        <v>20</v>
      </c>
    </row>
    <row r="405">
      <c r="A405" s="5" t="s">
        <v>574</v>
      </c>
      <c r="B405" s="5"/>
      <c r="C405" s="17">
        <v>15152.0</v>
      </c>
      <c r="D405" s="4" t="s">
        <v>572</v>
      </c>
      <c r="E405" s="6">
        <v>15279.2</v>
      </c>
      <c r="F405" s="7">
        <v>8.0</v>
      </c>
      <c r="G405" s="8">
        <f t="shared" si="20"/>
        <v>1909.9</v>
      </c>
      <c r="H405" s="5"/>
      <c r="I405" s="5"/>
      <c r="J405" s="5"/>
      <c r="K405" s="9"/>
      <c r="L405" s="11" t="s">
        <v>20</v>
      </c>
    </row>
  </sheetData>
  <dataValidations>
    <dataValidation type="list" allowBlank="1" showErrorMessage="1" sqref="I2:I405">
      <formula1>"Gramos,Litros,Unitario"</formula1>
    </dataValidation>
    <dataValidation type="list" allowBlank="1" showErrorMessage="1" sqref="H2:H405">
      <formula1>"SI,NO"</formula1>
    </dataValidation>
  </dataValidations>
  <drawing r:id="rId1"/>
</worksheet>
</file>